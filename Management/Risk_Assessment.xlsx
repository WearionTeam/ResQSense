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ongo\OneDrive\Documentos\UA\3_Ano\Projeto\2. Documentos Internos\Planning\"/>
    </mc:Choice>
  </mc:AlternateContent>
  <xr:revisionPtr revIDLastSave="0" documentId="13_ncr:1_{1DB12D0B-2140-4595-A0EA-61A93F86DAA0}" xr6:coauthVersionLast="47" xr6:coauthVersionMax="47" xr10:uidLastSave="{00000000-0000-0000-0000-000000000000}"/>
  <bookViews>
    <workbookView xWindow="28680" yWindow="-120" windowWidth="29040" windowHeight="15720" xr2:uid="{B2DAAFDE-DDBC-4936-A48C-2CA6F8DF0612}"/>
  </bookViews>
  <sheets>
    <sheet name="Risk Assessment Up To Date" sheetId="5" r:id="rId1"/>
    <sheet name="Riscos 06_12" sheetId="3" r:id="rId2"/>
    <sheet name="Riscos 10_04" sheetId="6" r:id="rId3"/>
  </sheets>
  <definedNames>
    <definedName name="_xlnm._FilterDatabase" localSheetId="1" hidden="1">'Riscos 06_12'!$B$3:$H$12</definedName>
    <definedName name="_xlnm._FilterDatabase" localSheetId="2" hidden="1">'Riscos 10_04'!$B$3:$H$12</definedName>
    <definedName name="_xlnm._FilterDatabase" localSheetId="0" hidden="1">'Risk Assessment Up To Date'!$B$3:$H$12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" i="6" l="1"/>
  <c r="D11" i="6"/>
  <c r="D9" i="6"/>
  <c r="D10" i="6"/>
  <c r="D5" i="6"/>
  <c r="D4" i="6"/>
  <c r="D7" i="6"/>
  <c r="D6" i="6"/>
  <c r="D8" i="6"/>
  <c r="D4" i="5"/>
  <c r="D12" i="5"/>
  <c r="D11" i="5"/>
  <c r="D10" i="5"/>
  <c r="D9" i="5"/>
  <c r="D8" i="5"/>
  <c r="D7" i="5"/>
  <c r="D6" i="5"/>
  <c r="D5" i="5"/>
  <c r="D10" i="3"/>
  <c r="D9" i="3"/>
  <c r="D11" i="3"/>
  <c r="D5" i="3"/>
  <c r="D7" i="3"/>
  <c r="D8" i="3"/>
  <c r="D12" i="3"/>
  <c r="D4" i="3"/>
  <c r="D6" i="3"/>
  <c r="H6" i="5" a="1"/>
  <c r="H7" i="5" a="1"/>
  <c r="C10" i="5" a="1"/>
  <c r="G6" i="5" a="1"/>
  <c r="H9" i="5" a="1"/>
  <c r="C7" i="5" a="1"/>
  <c r="B8" i="5" a="1"/>
  <c r="B5" i="5" a="1"/>
  <c r="H11" i="5" a="1"/>
  <c r="H8" i="5" a="1"/>
  <c r="C8" i="5" a="1"/>
  <c r="B6" i="5" a="1"/>
  <c r="C11" i="5" a="1"/>
  <c r="B12" i="5" a="1"/>
  <c r="H4" i="5" a="1"/>
  <c r="G10" i="5" a="1"/>
  <c r="G5" i="5" a="1"/>
  <c r="B10" i="5" a="1"/>
  <c r="B9" i="5" a="1"/>
  <c r="B7" i="5" a="1"/>
  <c r="H5" i="5" a="1"/>
  <c r="H12" i="5" a="1"/>
  <c r="H10" i="5" a="1"/>
  <c r="C5" i="5" a="1"/>
  <c r="G8" i="5" a="1"/>
  <c r="C12" i="5" a="1"/>
  <c r="C9" i="5" a="1"/>
  <c r="C4" i="5" a="1"/>
  <c r="C6" i="5" a="1"/>
  <c r="B4" i="5" a="1"/>
  <c r="G7" i="5" a="1"/>
  <c r="G11" i="5" a="1"/>
  <c r="B11" i="5" a="1"/>
  <c r="G12" i="5" a="1"/>
  <c r="G9" i="5" a="1"/>
  <c r="G4" i="5" a="1"/>
  <c r="G9" i="5" l="1"/>
  <c r="G8" i="5"/>
  <c r="G6" i="5"/>
  <c r="G7" i="5"/>
  <c r="C4" i="5"/>
  <c r="B4" i="5"/>
  <c r="C12" i="5"/>
  <c r="B7" i="5"/>
  <c r="B12" i="5"/>
  <c r="C6" i="5"/>
  <c r="C11" i="5"/>
  <c r="B6" i="5"/>
  <c r="B11" i="5"/>
  <c r="C5" i="5"/>
  <c r="C10" i="5"/>
  <c r="B5" i="5"/>
  <c r="G12" i="5"/>
  <c r="G11" i="5"/>
  <c r="H10" i="5"/>
  <c r="H12" i="5"/>
  <c r="H5" i="5"/>
  <c r="B10" i="5"/>
  <c r="G5" i="5"/>
  <c r="G10" i="5"/>
  <c r="H4" i="5"/>
  <c r="H8" i="5"/>
  <c r="H11" i="5"/>
  <c r="H9" i="5"/>
  <c r="H7" i="5"/>
  <c r="H6" i="5"/>
  <c r="G4" i="5"/>
  <c r="C9" i="5"/>
  <c r="B9" i="5"/>
  <c r="C8" i="5"/>
  <c r="B8" i="5"/>
  <c r="C7" i="5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<sst xmlns="http://schemas.openxmlformats.org/spreadsheetml/2006/main" count="116" uniqueCount="60">
  <si>
    <t>Causa</t>
  </si>
  <si>
    <t>P</t>
  </si>
  <si>
    <t>I</t>
  </si>
  <si>
    <t>Impacto</t>
  </si>
  <si>
    <t>PxI</t>
  </si>
  <si>
    <t>Mitigação</t>
  </si>
  <si>
    <t>Probabilidade</t>
  </si>
  <si>
    <t>1   (Pouco)</t>
  </si>
  <si>
    <t>5    (Grande)</t>
  </si>
  <si>
    <t>1      (Raro)</t>
  </si>
  <si>
    <t>5      (Muito Certo)</t>
  </si>
  <si>
    <t>Matriz de Risco 5x5 (PxI):</t>
  </si>
  <si>
    <t>Indisponibilidade de Ambiente de Teste</t>
  </si>
  <si>
    <t>O produto é validado apenas em laboratório e pode falhar em cenário real.</t>
  </si>
  <si>
    <t>Bloqueio/Interferência na Banda LoRa</t>
  </si>
  <si>
    <t>Falsos alarmes de paragem cardíaca ou falta de dados durante combate ativo.</t>
  </si>
  <si>
    <t>Otimização de código (utilizar os 2 cores do ESP32); Reduzir a frequência de amostragem se necessário.</t>
  </si>
  <si>
    <t>Atraso na Entrega de Componentes Críticos</t>
  </si>
  <si>
    <t>Impossibilidade de montar os protótipos finais a tempo das validações (M16.5).</t>
  </si>
  <si>
    <t>Falha Térmica da Bateria</t>
  </si>
  <si>
    <t>O sistema desliga-se subitamente durante a missão; Perda de autonomia.</t>
  </si>
  <si>
    <t>Utilizar isolamento térmico no invólucro da bateria; Monitorização ativa da temperatura interna pelo BMS.</t>
  </si>
  <si>
    <t>Falha de Multicaminho (Multipath) UWB</t>
  </si>
  <si>
    <t>Risks</t>
  </si>
  <si>
    <t>Riscos</t>
  </si>
  <si>
    <t>Saturação da banda livre (ISM 868MHz) por outros dispositivos na área ou Jamming intencional/acidental no local do incêndio.</t>
  </si>
  <si>
    <t>A carga combinada de Criptografia (AES-128), Fusão de Sensores e Gestão LoRa excede os ciclos de clock disponíveis no ESP32.</t>
  </si>
  <si>
    <t>Latência elevada no envio de alertas; Sistema lento ou crash por timeout do Watchdog.</t>
  </si>
  <si>
    <t>Material do Colete</t>
  </si>
  <si>
    <t>Impact</t>
  </si>
  <si>
    <t>Probability</t>
  </si>
  <si>
    <t>Cause</t>
  </si>
  <si>
    <t>Mitigation</t>
  </si>
  <si>
    <t>Up to Date Page:</t>
  </si>
  <si>
    <t>Risk Matrix 5x5 (PxI):</t>
  </si>
  <si>
    <t>O hardware montado não funciona; atraso crítico à espera de uma nova placa.</t>
  </si>
  <si>
    <t>Leituras Erradas em Movimento (Motion Artifacts)</t>
  </si>
  <si>
    <t>A tecnologia do sensor PPG tem dificuldade física em ler através do suor/movimento intenso, independentemente da qualidade do código.</t>
  </si>
  <si>
    <t>Algoritmo que filtrr ofsets no PPG; Usar sensores como um acelerómetro auxiliar para determinar o sinal; Algoritmo de validação de sinal.</t>
  </si>
  <si>
    <t>Perda total de comunicação com o tablet; incapacidade de reportar Man Down e outros alertas.</t>
  </si>
  <si>
    <t xml:space="preserve">Atrasos no fornecimento de módulos </t>
  </si>
  <si>
    <t>O calor do incêndio penetra no colete, ativando a proteção interna da bateria ou degradando-a.</t>
  </si>
  <si>
    <t>Validar fornecedores e módulos alternativos</t>
  </si>
  <si>
    <t>Sobrecarga do Microcontrolador</t>
  </si>
  <si>
    <t>Defeito de Fabrico do PCB</t>
  </si>
  <si>
    <t>Ter buffer de dados local para reenvio posterior; Avisar quando algum colete não transmitiu dados.</t>
  </si>
  <si>
    <t>Erro da fábrica na produção da placa ou erros nas pistas por falta de camadas inicialmente não previstas.</t>
  </si>
  <si>
    <t>Fazer o design dos PCBs cedo cumprindo as normas; Testar rapidamente a conectividade à chegada.</t>
  </si>
  <si>
    <t>Reflexões do sinal UWB em estruturas metálicas/postes de eletrecidade criam leituras de distância falsas.</t>
  </si>
  <si>
    <t>Erro de posicionamento elevado, caso haja falha no GNSS</t>
  </si>
  <si>
    <t>Descartar variações súbitas impossíveis e tentar prever posições possíveis.</t>
  </si>
  <si>
    <t>Falta de acesso aos Bombeiros ou a instalações para realizar os testes de campo reais.</t>
  </si>
  <si>
    <t>Agendar testes com os parceiros com tempo de antecedência.</t>
  </si>
  <si>
    <t xml:space="preserve"> Aumento da fadiga do operacional; Leituras biométricas errada; Sobreaquecimento dos módulos eletrónicos;</t>
  </si>
  <si>
    <t>Material desconfortável, com baixa respirabilidade e que não protege muito os módulos da temperatura externa.</t>
  </si>
  <si>
    <t>Fabricação do colete com tecidos respiráveis (algodão); Possibilidade de ajustar ao corpo com velcro.</t>
  </si>
  <si>
    <t>Implementação de leitura contínua e algoritmos inteligentes para rejeitar falsos positivos.</t>
  </si>
  <si>
    <t>Integração de um Módulo de Energia personalizado para gantir estabilidade elétrica.</t>
  </si>
  <si>
    <t>Riscos 10_04</t>
  </si>
  <si>
    <t>Desenvolvimento de um protocolo MAC personalizado com recurso a TDMA e máquina de estados para controlar Saltar de Sub Canal.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</si>
</sst>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3" tint="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rgb="FFC00000"/>
        <bgColor indexed="64"/>
      </patternFill>
    </fill>
  </fills>
  <borders count="23">
    <border>
      <left/>
      <right/>
      <top/>
      <bottom/>
      <diagonal/>
    </border>
    <border>
      <left style="thin">
        <color theme="0" tint="-0.14999847407452621"/>
      </left>
      <right/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/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/>
      <right/>
      <top/>
      <bottom style="thin">
        <color theme="0" tint="-0.14999847407452621"/>
      </bottom>
      <diagonal/>
    </border>
    <border>
      <left style="thin">
        <color theme="0" tint="-0.14999847407452621"/>
      </left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/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/>
      <diagonal/>
    </border>
    <border>
      <left/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 style="thin">
        <color theme="0" tint="-0.14999847407452621"/>
      </top>
      <bottom/>
      <diagonal/>
    </border>
    <border>
      <left style="thin">
        <color theme="0" tint="-0.14999847407452621"/>
      </left>
      <right/>
      <top/>
      <bottom/>
      <diagonal/>
    </border>
    <border>
      <left/>
      <right/>
      <top/>
      <bottom style="thick">
        <color auto="1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0" fillId="2" borderId="0" xfId="0" applyFill="1"/>
    <xf numFmtId="0" fontId="0" fillId="4" borderId="0" xfId="0" applyFill="1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0" fillId="0" borderId="3" xfId="0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2" fillId="7" borderId="7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2" fillId="8" borderId="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10" borderId="7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11" borderId="7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5" borderId="8" xfId="0" applyFont="1" applyFill="1" applyBorder="1" applyAlignment="1">
      <alignment horizontal="center" vertical="center"/>
    </xf>
    <xf numFmtId="0" fontId="2" fillId="8" borderId="8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 wrapText="1"/>
    </xf>
    <xf numFmtId="0" fontId="0" fillId="0" borderId="14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2" fillId="0" borderId="19" xfId="0" applyFont="1" applyBorder="1" applyAlignment="1">
      <alignment horizontal="center" vertical="center"/>
    </xf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0" fillId="2" borderId="21" xfId="0" applyFill="1" applyBorder="1"/>
    <xf numFmtId="0" fontId="0" fillId="0" borderId="21" xfId="0" applyBorder="1" applyAlignment="1">
      <alignment horizontal="left" vertical="center" wrapText="1"/>
    </xf>
    <xf numFmtId="0" fontId="6" fillId="4" borderId="0" xfId="0" applyFont="1" applyFill="1"/>
    <xf numFmtId="0" fontId="0" fillId="4" borderId="19" xfId="0" applyFill="1" applyBorder="1"/>
    <xf numFmtId="0" fontId="0" fillId="0" borderId="0" xfId="0" applyAlignment="1">
      <alignment vertical="center" wrapText="1"/>
    </xf>
    <xf numFmtId="0" fontId="3" fillId="4" borderId="0" xfId="0" applyFont="1" applyFill="1" applyAlignment="1">
      <alignment horizontal="center"/>
    </xf>
    <xf numFmtId="0" fontId="4" fillId="4" borderId="0" xfId="0" applyFont="1" applyFill="1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textRotation="90"/>
    </xf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24">
    <dxf>
      <fill>
        <patternFill>
          <bgColor theme="6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7C8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6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7C8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  <dxf>
      <fill>
        <patternFill>
          <bgColor theme="6"/>
        </patternFill>
      </fill>
    </dxf>
    <dxf>
      <fill>
        <patternFill>
          <bgColor rgb="FF92D050"/>
        </patternFill>
      </fill>
    </dxf>
    <dxf>
      <fill>
        <patternFill>
          <bgColor rgb="FFFFFF00"/>
        </patternFill>
      </fill>
    </dxf>
    <dxf>
      <fill>
        <patternFill>
          <bgColor rgb="FFFFC000"/>
        </patternFill>
      </fill>
    </dxf>
    <dxf>
      <fill>
        <patternFill>
          <bgColor rgb="FFFF9900"/>
        </patternFill>
      </fill>
    </dxf>
    <dxf>
      <fill>
        <patternFill>
          <bgColor rgb="FFFF7C80"/>
        </patternFill>
      </fill>
    </dxf>
    <dxf>
      <fill>
        <patternFill>
          <bgColor rgb="FFFF0000"/>
        </patternFill>
      </fill>
    </dxf>
    <dxf>
      <fill>
        <patternFill>
          <bgColor rgb="FFC00000"/>
        </patternFill>
      </fill>
    </dxf>
  </dxfs>
  <tableStyles count="0" defaultTableStyle="TableStyleMedium2" defaultPivotStyle="PivotStyleLight16"/>
  <colors>
    <mruColors>
      <color rgb="FF000000"/>
      <color rgb="FFFF7C80"/>
      <color rgb="FFFF9900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C1777-F4D7-4361-A789-A5CDB909B471}">
  <sheetPr>
    <pageSetUpPr autoPageBreaks="0"/>
  </sheetPr>
  <dimension ref="A1:V36"/>
  <sheetViews>
    <sheetView tabSelected="1" zoomScale="85" zoomScaleNormal="85" workbookViewId="0">
      <selection activeCell="Q14" sqref="Q14"/>
    </sheetView>
  </sheetViews>
  <sheetFormatPr defaultRowHeight="14.5" x14ac:dyDescent="0.35"/>
  <cols>
    <col min="1" max="1" width="8.7265625" customWidth="1"/>
    <col min="2" max="2" width="25.6328125" customWidth="1"/>
    <col min="3" max="3" width="30.26953125" customWidth="1"/>
    <col min="4" max="6" width="8.1796875" customWidth="1"/>
    <col min="7" max="7" width="23.26953125" customWidth="1"/>
    <col min="8" max="8" width="29.54296875" customWidth="1"/>
    <col min="11" max="11" width="9.7265625" customWidth="1"/>
    <col min="12" max="12" width="15.7265625" customWidth="1"/>
  </cols>
  <sheetData>
    <row r="1" spans="1:22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2" ht="21" x14ac:dyDescent="0.35">
      <c r="A2" s="2"/>
      <c r="B2" s="35" t="s">
        <v>23</v>
      </c>
      <c r="C2" s="33" t="s">
        <v>31</v>
      </c>
      <c r="D2" s="33" t="s">
        <v>4</v>
      </c>
      <c r="E2" s="33" t="s">
        <v>1</v>
      </c>
      <c r="F2" s="33" t="s">
        <v>2</v>
      </c>
      <c r="G2" s="33" t="s">
        <v>29</v>
      </c>
      <c r="H2" s="34" t="s">
        <v>32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2" ht="18.5" x14ac:dyDescent="0.45">
      <c r="A3" s="2"/>
      <c r="B3" s="36"/>
      <c r="C3" s="1"/>
      <c r="D3" s="1"/>
      <c r="E3" s="1"/>
      <c r="F3" s="1"/>
      <c r="G3" s="1"/>
      <c r="H3" s="1"/>
      <c r="I3" s="2"/>
      <c r="J3" s="42" t="s">
        <v>33</v>
      </c>
      <c r="K3" s="42"/>
      <c r="L3" s="38" t="s">
        <v>58</v>
      </c>
      <c r="M3" s="2"/>
      <c r="N3" s="2"/>
      <c r="O3" s="2"/>
      <c r="P3" s="2"/>
      <c r="Q3" s="2"/>
      <c r="R3" s="2"/>
      <c r="S3" s="2"/>
      <c r="T3" s="2"/>
      <c r="U3" s="2"/>
    </row>
    <row r="4" spans="1:22" ht="79.5" customHeight="1" x14ac:dyDescent="0.35">
      <c r="A4" s="2"/>
      <c r="B4" s="37" t="str" cm="1">
        <f t="array" aca="1" ref="B4" ca="1">_xlfn.TRANSLATE(INDIRECT("'" &amp; $L$3 &amp; "'!" &amp; ADDRESS(ROW(B4),COLUMN(B4))), "pt-pt", "en")</f>
        <v>Delay in Delivery of Critical Components</v>
      </c>
      <c r="C4" s="3" t="str" cm="1">
        <f t="array" aca="1" ref="C4" ca="1">_xlfn.TRANSLATE(INDIRECT("'" &amp; $L$3 &amp; "'!" &amp; ADDRESS(ROW(C4),COLUMN(C4))), "pt-pt", "en")</f>
        <v>Delays in the supply of modules</v>
      </c>
      <c r="D4" s="4">
        <f t="shared" ref="D4:D12" si="0">E4*F4</f>
        <v>10</v>
      </c>
      <c r="E4" s="4">
        <v>2</v>
      </c>
      <c r="F4" s="4">
        <v>5</v>
      </c>
      <c r="G4" s="31" t="str" cm="1">
        <f t="array" aca="1" ref="G4" ca="1">_xlfn.TRANSLATE(INDIRECT("'" &amp; $L$3 &amp; "'!" &amp; ADDRESS(ROW(G4),COLUMN(G4))), "pt-pt", "en")</f>
        <v>Impossibility of assembling the final prototypes in time for validations (M16.5).</v>
      </c>
      <c r="H4" s="31" t="str" cm="1">
        <f t="array" aca="1" ref="H4" ca="1">_xlfn.TRANSLATE(INDIRECT("'" &amp; $L$3 &amp; "'!" &amp; ADDRESS(ROW(H4),COLUMN(H4))), "pt-pt", "en")</f>
        <v>Validate alternative vendors and modules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2" ht="73" customHeight="1" thickBot="1" x14ac:dyDescent="0.6">
      <c r="A5" s="2"/>
      <c r="B5" s="37" t="str" cm="1">
        <f t="array" aca="1" ref="B5" ca="1">_xlfn.TRANSLATE(INDIRECT("'" &amp; $L$3 &amp; "'!" &amp; ADDRESS(ROW(B5),COLUMN(B5))), "pt-pt", "en")</f>
        <v>PCB Manufacturing Defect</v>
      </c>
      <c r="C5" s="3" t="str" cm="1">
        <f t="array" aca="1" ref="C5" ca="1">_xlfn.TRANSLATE(INDIRECT("'" &amp; $L$3 &amp; "'!" &amp; ADDRESS(ROW(C5),COLUMN(C5))), "pt-pt", "en")</f>
        <v>Factory error in the production of the board or errors in the tracks due to lack of layers not initially foreseen.</v>
      </c>
      <c r="D5" s="4">
        <f t="shared" si="0"/>
        <v>10</v>
      </c>
      <c r="E5" s="4">
        <v>2</v>
      </c>
      <c r="F5" s="4">
        <v>5</v>
      </c>
      <c r="G5" s="31" t="str" cm="1">
        <f t="array" aca="1" ref="G5" ca="1">_xlfn.TRANSLATE(INDIRECT("'" &amp; $L$3 &amp; "'!" &amp; ADDRESS(ROW(G5),COLUMN(G5))), "pt-pt", "en")</f>
        <v>Mounted hardware does not work; Critical delay waiting for a new card.</v>
      </c>
      <c r="H5" s="31" t="str" cm="1">
        <f t="array" aca="1" ref="H5" ca="1">_xlfn.TRANSLATE(INDIRECT("'" &amp; $L$3 &amp; "'!" &amp; ADDRESS(ROW(H5),COLUMN(H5))), "pt-pt", "en")</f>
        <v>Design PCBs early by complying with standards; Quickly test connectivity on arrival.</v>
      </c>
      <c r="I5" s="2"/>
      <c r="J5" s="2"/>
      <c r="K5" s="41" t="s">
        <v>34</v>
      </c>
      <c r="L5" s="42"/>
      <c r="M5" s="42"/>
      <c r="N5" s="42"/>
      <c r="O5" s="43" t="s">
        <v>29</v>
      </c>
      <c r="P5" s="43"/>
      <c r="Q5" s="43"/>
      <c r="R5" s="43"/>
      <c r="S5" s="43"/>
      <c r="T5" s="2"/>
      <c r="U5" s="2"/>
      <c r="V5" s="2"/>
    </row>
    <row r="6" spans="1:22" ht="44.5" thickTop="1" thickBot="1" x14ac:dyDescent="0.4">
      <c r="A6" s="2"/>
      <c r="B6" s="37" t="str" cm="1">
        <f t="array" aca="1" ref="B6" ca="1">_xlfn.TRANSLATE(INDIRECT("'" &amp; $L$3 &amp; "'!" &amp; ADDRESS(ROW(B6),COLUMN(B6))), "pt-pt", "en")</f>
        <v>Battery Thermal Failure</v>
      </c>
      <c r="C6" s="3" t="str" cm="1">
        <f t="array" aca="1" ref="C6" ca="1">_xlfn.TRANSLATE(INDIRECT("'" &amp; $L$3 &amp; "'!" &amp; ADDRESS(ROW(C6),COLUMN(C6))), "pt-pt", "en")</f>
        <v>The heat from the fire penetrates the vest, activating the battery's internal protection or degrading it.</v>
      </c>
      <c r="D6" s="4">
        <f t="shared" si="0"/>
        <v>10</v>
      </c>
      <c r="E6" s="4">
        <v>2</v>
      </c>
      <c r="F6" s="4">
        <v>5</v>
      </c>
      <c r="G6" s="31" t="str" cm="1">
        <f t="array" aca="1" ref="G6" ca="1">_xlfn.TRANSLATE(INDIRECT("'" &amp; $L$3 &amp; "'!" &amp; ADDRESS(ROW(G6),COLUMN(G6))), "pt-pt", "en")</f>
        <v>The system suddenly switches off during the mission; Loss of autonomy.</v>
      </c>
      <c r="H6" s="31" t="str" cm="1">
        <f t="array" aca="1" ref="H6" ca="1">_xlfn.TRANSLATE(INDIRECT("'" &amp; $L$3 &amp; "'!" &amp; ADDRESS(ROW(H6),COLUMN(H6))), "pt-pt", "en")</f>
        <v>Integration of a custom Power Module to ensure electrical stability.</v>
      </c>
      <c r="I6" s="2"/>
      <c r="J6" s="2"/>
      <c r="K6" s="2"/>
      <c r="L6" s="2"/>
      <c r="M6" s="2"/>
      <c r="O6" s="23" t="s">
        <v>7</v>
      </c>
      <c r="P6" s="24">
        <v>2</v>
      </c>
      <c r="Q6" s="24">
        <v>3</v>
      </c>
      <c r="R6" s="24">
        <v>4</v>
      </c>
      <c r="S6" s="25" t="s">
        <v>8</v>
      </c>
      <c r="T6" s="2"/>
      <c r="U6" s="2"/>
      <c r="V6" s="2"/>
    </row>
    <row r="7" spans="1:22" ht="59" thickTop="1" thickBot="1" x14ac:dyDescent="0.4">
      <c r="A7" s="2"/>
      <c r="B7" s="37" t="str" cm="1">
        <f t="array" aca="1" ref="B7" ca="1">_xlfn.TRANSLATE(INDIRECT("'" &amp; $L$3 &amp; "'!" &amp; ADDRESS(ROW(B7),COLUMN(B7))), "pt-pt", "en")</f>
        <v>LoRa Band Jamming/Interference</v>
      </c>
      <c r="C7" s="3" t="str" cm="1">
        <f t="array" aca="1" ref="C7" ca="1">_xlfn.TRANSLATE(INDIRECT("'" &amp; $L$3 &amp; "'!" &amp; ADDRESS(ROW(C7),COLUMN(C7))), "pt-pt", "en")</f>
        <v>Saturation of the free band (ISM 868MHz) by other devices in the area or Intentional/accidental jamming at the fire site.</v>
      </c>
      <c r="D7" s="4">
        <f t="shared" si="0"/>
        <v>10</v>
      </c>
      <c r="E7" s="4">
        <v>2</v>
      </c>
      <c r="F7" s="4">
        <v>5</v>
      </c>
      <c r="G7" s="31" t="str" cm="1">
        <f t="array" aca="1" ref="G7" ca="1">_xlfn.TRANSLATE(INDIRECT("'" &amp; $L$3 &amp; "'!" &amp; ADDRESS(ROW(G7),COLUMN(G7))), "pt-pt", "en")</f>
        <v>Total loss of communication with the tablet; inability to report Man Down and other alerts.</v>
      </c>
      <c r="H7" s="31" t="str" cm="1">
        <f t="array" aca="1" ref="H7" ca="1">_xlfn.TRANSLATE(INDIRECT("'" &amp; $L$3 &amp; "'!" &amp; ADDRESS(ROW(H7),COLUMN(H7))), "pt-pt", "en")</f>
        <v>Development of a custom MAC protocol using TDMA and state machine to control Sub-Channel Hopping.</v>
      </c>
      <c r="I7" s="2"/>
      <c r="J7" s="2"/>
      <c r="K7" s="2"/>
      <c r="L7" s="2"/>
      <c r="M7" s="44" t="s">
        <v>30</v>
      </c>
      <c r="N7" s="26" t="s">
        <v>9</v>
      </c>
      <c r="O7" s="19">
        <v>1</v>
      </c>
      <c r="P7" s="12">
        <v>2</v>
      </c>
      <c r="Q7" s="13">
        <v>3</v>
      </c>
      <c r="R7" s="13">
        <v>4</v>
      </c>
      <c r="S7" s="14">
        <v>5</v>
      </c>
      <c r="T7" s="2"/>
      <c r="U7" s="2"/>
      <c r="V7" s="2"/>
    </row>
    <row r="8" spans="1:22" ht="59" thickTop="1" thickBot="1" x14ac:dyDescent="0.4">
      <c r="A8" s="2"/>
      <c r="B8" s="37" t="str" cm="1">
        <f t="array" aca="1" ref="B8" ca="1">_xlfn.TRANSLATE(INDIRECT("'" &amp; $L$3 &amp; "'!" &amp; ADDRESS(ROW(B8),COLUMN(B8))), "pt-pt", "en")</f>
        <v>Motion Artifacts</v>
      </c>
      <c r="C8" s="3" t="str" cm="1">
        <f t="array" aca="1" ref="C8" ca="1">_xlfn.TRANSLATE(INDIRECT("'" &amp; $L$3 &amp; "'!" &amp; ADDRESS(ROW(C8),COLUMN(C8))), "pt-pt", "en")</f>
        <v>PPG sensor technology has physical difficulty reading through sweat/intense motion, regardless of code quality.</v>
      </c>
      <c r="D8" s="4">
        <f t="shared" si="0"/>
        <v>8</v>
      </c>
      <c r="E8" s="4">
        <v>2</v>
      </c>
      <c r="F8" s="4">
        <v>4</v>
      </c>
      <c r="G8" s="31" t="str" cm="1">
        <f t="array" aca="1" ref="G8" ca="1">_xlfn.TRANSLATE(INDIRECT("'" &amp; $L$3 &amp; "'!" &amp; ADDRESS(ROW(G8),COLUMN(G8))), "pt-pt", "en")</f>
        <v>False alarms of cardiac arrest or lack of data during active combat.</v>
      </c>
      <c r="H8" s="31" t="str" cm="1">
        <f t="array" aca="1" ref="H8" ca="1">_xlfn.TRANSLATE(INDIRECT("'" &amp; $L$3 &amp; "'!" &amp; ADDRESS(ROW(H8),COLUMN(H8))), "pt-pt", "en")</f>
        <v>Implementation of continuous reading and intelligent algorithms to reject false positives.</v>
      </c>
      <c r="I8" s="2"/>
      <c r="J8" s="2"/>
      <c r="K8" s="2"/>
      <c r="L8" s="2"/>
      <c r="M8" s="44"/>
      <c r="N8" s="27">
        <v>2</v>
      </c>
      <c r="O8" s="20">
        <v>2</v>
      </c>
      <c r="P8" s="13">
        <v>4</v>
      </c>
      <c r="Q8" s="14">
        <v>6</v>
      </c>
      <c r="R8" s="14">
        <v>8</v>
      </c>
      <c r="S8" s="15">
        <v>10</v>
      </c>
      <c r="T8" s="2"/>
      <c r="U8" s="2"/>
      <c r="V8" s="2"/>
    </row>
    <row r="9" spans="1:22" ht="59" thickTop="1" thickBot="1" x14ac:dyDescent="0.4">
      <c r="A9" s="2"/>
      <c r="B9" s="37" t="str" cm="1">
        <f t="array" aca="1" ref="B9" ca="1">_xlfn.TRANSLATE(INDIRECT("'" &amp; $L$3 &amp; "'!" &amp; ADDRESS(ROW(B9),COLUMN(B9))), "pt-pt", "en")</f>
        <v>Vest Material</v>
      </c>
      <c r="C9" s="3" t="str" cm="1">
        <f t="array" aca="1" ref="C9" ca="1">_xlfn.TRANSLATE(INDIRECT("'" &amp; $L$3 &amp; "'!" &amp; ADDRESS(ROW(C9),COLUMN(C9))), "pt-pt", "en")</f>
        <v>Uncomfortable material, with low breathability and that does not protect the modules much from external temperature.</v>
      </c>
      <c r="D9" s="4">
        <f t="shared" si="0"/>
        <v>6</v>
      </c>
      <c r="E9" s="4">
        <v>2</v>
      </c>
      <c r="F9" s="4">
        <v>3</v>
      </c>
      <c r="G9" s="31" t="str" cm="1">
        <f t="array" aca="1" ref="G9" ca="1">_xlfn.TRANSLATE(INDIRECT("'" &amp; $L$3 &amp; "'!" &amp; ADDRESS(ROW(G9),COLUMN(G9))), "pt-pt", "en")</f>
        <v>Increased operational fatigue; Wrong biometric readings; Overheating of the electronic modules;</v>
      </c>
      <c r="H9" s="31" t="str" cm="1">
        <f t="array" aca="1" ref="H9" ca="1">_xlfn.TRANSLATE(INDIRECT("'" &amp; $L$3 &amp; "'!" &amp; ADDRESS(ROW(H9),COLUMN(H9))), "pt-pt", "en")</f>
        <v>Manufacture of the vest with breathable fabrics (cotton); Possibility of adjusting to the body with velcro.</v>
      </c>
      <c r="I9" s="2"/>
      <c r="J9" s="2"/>
      <c r="K9" s="2"/>
      <c r="L9" s="2"/>
      <c r="M9" s="44"/>
      <c r="N9" s="27">
        <v>3</v>
      </c>
      <c r="O9" s="21">
        <v>3</v>
      </c>
      <c r="P9" s="14">
        <v>6</v>
      </c>
      <c r="Q9" s="15">
        <v>9</v>
      </c>
      <c r="R9" s="15">
        <v>12</v>
      </c>
      <c r="S9" s="16">
        <v>15</v>
      </c>
      <c r="T9" s="2"/>
      <c r="U9" s="2"/>
      <c r="V9" s="2"/>
    </row>
    <row r="10" spans="1:22" ht="44.5" thickTop="1" thickBot="1" x14ac:dyDescent="0.4">
      <c r="A10" s="2"/>
      <c r="B10" s="37" t="str" cm="1">
        <f t="array" aca="1" ref="B10" ca="1">_xlfn.TRANSLATE(INDIRECT("'" &amp; $L$3 &amp; "'!" &amp; ADDRESS(ROW(B10),COLUMN(B10))), "pt-pt", "en")</f>
        <v>Test Environment Unavailability</v>
      </c>
      <c r="C10" s="3" t="str" cm="1">
        <f t="array" aca="1" ref="C10" ca="1">_xlfn.TRANSLATE(INDIRECT("'" &amp; $L$3 &amp; "'!" &amp; ADDRESS(ROW(C10),COLUMN(C10))), "pt-pt", "en")</f>
        <v>Lack of access to the Fire Department or facilities to conduct the actual field tests.</v>
      </c>
      <c r="D10" s="4">
        <f t="shared" si="0"/>
        <v>4</v>
      </c>
      <c r="E10" s="4">
        <v>2</v>
      </c>
      <c r="F10" s="4">
        <v>2</v>
      </c>
      <c r="G10" s="31" t="str" cm="1">
        <f t="array" aca="1" ref="G10" ca="1">_xlfn.TRANSLATE(INDIRECT("'" &amp; $L$3 &amp; "'!" &amp; ADDRESS(ROW(G10),COLUMN(G10))), "pt-pt", "en")</f>
        <v>The product is validated only in the laboratory and may fail in a real scenario.</v>
      </c>
      <c r="H10" s="31" t="str" cm="1">
        <f t="array" aca="1" ref="H10" ca="1">_xlfn.TRANSLATE(INDIRECT("'" &amp; $L$3 &amp; "'!" &amp; ADDRESS(ROW(H10),COLUMN(H10))), "pt-pt", "en")</f>
        <v>Schedule tests with partners in advance.</v>
      </c>
      <c r="I10" s="2"/>
      <c r="J10" s="2"/>
      <c r="K10" s="2"/>
      <c r="L10" s="2"/>
      <c r="M10" s="44"/>
      <c r="N10" s="27">
        <v>4</v>
      </c>
      <c r="O10" s="21">
        <v>4</v>
      </c>
      <c r="P10" s="14">
        <v>8</v>
      </c>
      <c r="Q10" s="15">
        <v>12</v>
      </c>
      <c r="R10" s="16">
        <v>16</v>
      </c>
      <c r="S10" s="17">
        <v>20</v>
      </c>
      <c r="T10" s="2"/>
      <c r="U10" s="2"/>
      <c r="V10" s="2"/>
    </row>
    <row r="11" spans="1:22" ht="49" thickTop="1" thickBot="1" x14ac:dyDescent="0.4">
      <c r="A11" s="2"/>
      <c r="B11" s="37" t="str" cm="1">
        <f t="array" aca="1" ref="B11" ca="1">_xlfn.TRANSLATE(INDIRECT("'" &amp; $L$3 &amp; "'!" &amp; ADDRESS(ROW(B11),COLUMN(B11))), "pt-pt", "en")</f>
        <v>UWB Multipath Failure</v>
      </c>
      <c r="C11" s="3" t="str" cm="1">
        <f t="array" aca="1" ref="C11" ca="1">_xlfn.TRANSLATE(INDIRECT("'" &amp; $L$3 &amp; "'!" &amp; ADDRESS(ROW(C11),COLUMN(C11))), "pt-pt", "en")</f>
        <v>Reflections of the UWB signal on metal structures/electricity poles create false distance readings.</v>
      </c>
      <c r="D11" s="4">
        <f t="shared" si="0"/>
        <v>4</v>
      </c>
      <c r="E11" s="4">
        <v>2</v>
      </c>
      <c r="F11" s="4">
        <v>2</v>
      </c>
      <c r="G11" s="31" t="str" cm="1">
        <f t="array" aca="1" ref="G11" ca="1">_xlfn.TRANSLATE(INDIRECT("'" &amp; $L$3 &amp; "'!" &amp; ADDRESS(ROW(G11),COLUMN(G11))), "pt-pt", "en")</f>
        <v>High positioning error in case of GNSS failure</v>
      </c>
      <c r="H11" s="31" t="str" cm="1">
        <f t="array" aca="1" ref="H11" ca="1">_xlfn.TRANSLATE(INDIRECT("'" &amp; $L$3 &amp; "'!" &amp; ADDRESS(ROW(H11),COLUMN(H11))), "pt-pt", "en")</f>
        <v>Discard impossible sudden variations and try to predict possible positions.</v>
      </c>
      <c r="I11" s="2"/>
      <c r="J11" s="2"/>
      <c r="K11" s="2"/>
      <c r="L11" s="2"/>
      <c r="M11" s="44"/>
      <c r="N11" s="28" t="s">
        <v>10</v>
      </c>
      <c r="O11" s="22">
        <v>5</v>
      </c>
      <c r="P11" s="15">
        <v>10</v>
      </c>
      <c r="Q11" s="16">
        <v>15</v>
      </c>
      <c r="R11" s="17">
        <v>20</v>
      </c>
      <c r="S11" s="18">
        <v>25</v>
      </c>
      <c r="T11" s="2"/>
      <c r="U11" s="2"/>
      <c r="V11" s="2"/>
    </row>
    <row r="12" spans="1:22" ht="58" x14ac:dyDescent="0.35">
      <c r="A12" s="2"/>
      <c r="B12" s="30" t="str" cm="1">
        <f t="array" aca="1" ref="B12" ca="1">_xlfn.TRANSLATE(INDIRECT("'" &amp; $L$3 &amp; "'!" &amp; ADDRESS(ROW(B12),COLUMN(B12))), "pt-pt", "en")</f>
        <v>Microcontroller Overload</v>
      </c>
      <c r="C12" s="29" t="str" cm="1">
        <f t="array" aca="1" ref="C12" ca="1">_xlfn.TRANSLATE(INDIRECT("'" &amp; $L$3 &amp; "'!" &amp; ADDRESS(ROW(C12),COLUMN(C12))), "pt-pt", "en")</f>
        <v>The combined load of Encryption (AES-128), Sensor Fusion, and LoRa Management exceeds the clock cycles available on the ESP32.</v>
      </c>
      <c r="D12" s="10">
        <f t="shared" si="0"/>
        <v>3</v>
      </c>
      <c r="E12" s="10">
        <v>1</v>
      </c>
      <c r="F12" s="5">
        <v>3</v>
      </c>
      <c r="G12" s="32" t="str" cm="1">
        <f t="array" aca="1" ref="G12" ca="1">_xlfn.TRANSLATE(INDIRECT("'" &amp; $L$3 &amp; "'!" &amp; ADDRESS(ROW(G12),COLUMN(G12))), "pt-pt", "en")</f>
        <v>High latency in sending alerts; Slow system or Watchdog timeout crash.</v>
      </c>
      <c r="H12" s="32" t="str" cm="1">
        <f t="array" aca="1" ref="H12" ca="1">_xlfn.TRANSLATE(INDIRECT("'" &amp; $L$3 &amp; "'!" &amp; ADDRESS(ROW(H12),COLUMN(H12))), "pt-pt", "en")</f>
        <v>Code optimization (use the 2 cores of the ESP32); Reduce the sampling frequency if necessary.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5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3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</sheetData>
  <autoFilter ref="B3:H12" xr:uid="{76A59BFD-0857-4E17-BF79-D50C80A4342C}"/>
  <mergeCells count="4">
    <mergeCell ref="K5:N5"/>
    <mergeCell ref="O5:S5"/>
    <mergeCell ref="M7:M11"/>
    <mergeCell ref="J3:K3"/>
  </mergeCells>
  <conditionalFormatting sqref="D4:D12">
    <cfRule type="cellIs" dxfId="23" priority="1" operator="equal">
      <formula>25</formula>
    </cfRule>
    <cfRule type="cellIs" dxfId="22" priority="2" operator="equal">
      <formula>20</formula>
    </cfRule>
    <cfRule type="cellIs" dxfId="21" priority="3" operator="between">
      <formula>15</formula>
      <formula>16</formula>
    </cfRule>
    <cfRule type="cellIs" dxfId="20" priority="4" operator="between">
      <formula>9</formula>
      <formula>12</formula>
    </cfRule>
    <cfRule type="cellIs" dxfId="19" priority="5" operator="between">
      <formula>5</formula>
      <formula>8</formula>
    </cfRule>
    <cfRule type="cellIs" dxfId="18" priority="6" operator="between">
      <formula>3</formula>
      <formula>4</formula>
    </cfRule>
    <cfRule type="cellIs" dxfId="17" priority="7" operator="equal">
      <formula>2</formula>
    </cfRule>
    <cfRule type="cellIs" dxfId="16" priority="8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A59BFD-0857-4E17-BF79-D50C80A4342C}">
  <sheetPr>
    <pageSetUpPr autoPageBreaks="0"/>
  </sheetPr>
  <dimension ref="A1:V36"/>
  <sheetViews>
    <sheetView zoomScale="88" zoomScaleNormal="70" workbookViewId="0">
      <selection activeCell="G22" sqref="G22"/>
    </sheetView>
  </sheetViews>
  <sheetFormatPr defaultRowHeight="14.5" x14ac:dyDescent="0.35"/>
  <cols>
    <col min="1" max="1" width="8.7265625" customWidth="1"/>
    <col min="2" max="2" width="25.6328125" customWidth="1"/>
    <col min="3" max="3" width="30.26953125" customWidth="1"/>
    <col min="4" max="6" width="8.1796875" customWidth="1"/>
    <col min="7" max="7" width="23.26953125" customWidth="1"/>
    <col min="8" max="8" width="29.54296875" customWidth="1"/>
  </cols>
  <sheetData>
    <row r="1" spans="1:22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2" ht="21" x14ac:dyDescent="0.35">
      <c r="A2" s="2"/>
      <c r="B2" s="35" t="s">
        <v>24</v>
      </c>
      <c r="C2" s="33" t="s">
        <v>0</v>
      </c>
      <c r="D2" s="33" t="s">
        <v>4</v>
      </c>
      <c r="E2" s="33" t="s">
        <v>1</v>
      </c>
      <c r="F2" s="33" t="s">
        <v>2</v>
      </c>
      <c r="G2" s="33" t="s">
        <v>3</v>
      </c>
      <c r="H2" s="34" t="s">
        <v>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2" x14ac:dyDescent="0.35">
      <c r="A3" s="2"/>
      <c r="B3" s="36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2" ht="79.5" customHeight="1" x14ac:dyDescent="0.55000000000000004">
      <c r="A4" s="2"/>
      <c r="B4" s="37" t="s">
        <v>36</v>
      </c>
      <c r="C4" s="3" t="s">
        <v>37</v>
      </c>
      <c r="D4" s="4">
        <f t="shared" ref="D4:D12" si="0">E4*F4</f>
        <v>16</v>
      </c>
      <c r="E4" s="4">
        <v>4</v>
      </c>
      <c r="F4" s="4">
        <v>4</v>
      </c>
      <c r="G4" s="3" t="s">
        <v>15</v>
      </c>
      <c r="H4" s="7" t="s">
        <v>38</v>
      </c>
      <c r="I4" s="2"/>
      <c r="J4" s="2"/>
      <c r="K4" s="2"/>
      <c r="L4" s="41" t="s">
        <v>11</v>
      </c>
      <c r="M4" s="42"/>
      <c r="N4" s="42"/>
      <c r="O4" s="42"/>
      <c r="P4" s="2"/>
      <c r="Q4" s="2"/>
      <c r="R4" s="2"/>
      <c r="S4" s="2"/>
      <c r="T4" s="2"/>
      <c r="U4" s="2"/>
    </row>
    <row r="5" spans="1:22" ht="58.5" thickBot="1" x14ac:dyDescent="0.4">
      <c r="A5" s="2"/>
      <c r="B5" s="37" t="s">
        <v>19</v>
      </c>
      <c r="C5" s="3" t="s">
        <v>41</v>
      </c>
      <c r="D5" s="4">
        <f t="shared" si="0"/>
        <v>15</v>
      </c>
      <c r="E5" s="4">
        <v>3</v>
      </c>
      <c r="F5" s="4">
        <v>5</v>
      </c>
      <c r="G5" s="3" t="s">
        <v>20</v>
      </c>
      <c r="H5" s="8" t="s">
        <v>21</v>
      </c>
      <c r="I5" s="2"/>
      <c r="J5" s="2"/>
      <c r="K5" s="2"/>
      <c r="L5" s="2"/>
      <c r="M5" s="2"/>
      <c r="N5" s="2"/>
      <c r="O5" s="45" t="s">
        <v>3</v>
      </c>
      <c r="P5" s="45"/>
      <c r="Q5" s="45"/>
      <c r="R5" s="45"/>
      <c r="S5" s="45"/>
      <c r="T5" s="2"/>
      <c r="U5" s="2"/>
      <c r="V5" s="2"/>
    </row>
    <row r="6" spans="1:22" ht="73.5" thickTop="1" thickBot="1" x14ac:dyDescent="0.4">
      <c r="A6" s="2"/>
      <c r="B6" s="37" t="s">
        <v>14</v>
      </c>
      <c r="C6" s="3" t="s">
        <v>25</v>
      </c>
      <c r="D6" s="4">
        <f t="shared" si="0"/>
        <v>12</v>
      </c>
      <c r="E6" s="4">
        <v>3</v>
      </c>
      <c r="F6" s="4">
        <v>4</v>
      </c>
      <c r="G6" s="3" t="s">
        <v>39</v>
      </c>
      <c r="H6" s="6" t="s">
        <v>45</v>
      </c>
      <c r="I6" s="2"/>
      <c r="J6" s="2"/>
      <c r="K6" s="2"/>
      <c r="L6" s="2"/>
      <c r="M6" s="2"/>
      <c r="O6" s="23" t="s">
        <v>7</v>
      </c>
      <c r="P6" s="24">
        <v>2</v>
      </c>
      <c r="Q6" s="24">
        <v>3</v>
      </c>
      <c r="R6" s="24">
        <v>4</v>
      </c>
      <c r="S6" s="25" t="s">
        <v>8</v>
      </c>
      <c r="T6" s="2"/>
      <c r="U6" s="2"/>
      <c r="V6" s="2"/>
    </row>
    <row r="7" spans="1:22" ht="44.5" thickTop="1" thickBot="1" x14ac:dyDescent="0.4">
      <c r="A7" s="2"/>
      <c r="B7" s="37" t="s">
        <v>17</v>
      </c>
      <c r="C7" s="3" t="s">
        <v>40</v>
      </c>
      <c r="D7" s="4">
        <f t="shared" si="0"/>
        <v>10</v>
      </c>
      <c r="E7" s="4">
        <v>2</v>
      </c>
      <c r="F7" s="4">
        <v>5</v>
      </c>
      <c r="G7" s="3" t="s">
        <v>18</v>
      </c>
      <c r="H7" s="7" t="s">
        <v>42</v>
      </c>
      <c r="I7" s="2"/>
      <c r="J7" s="2"/>
      <c r="K7" s="2"/>
      <c r="L7" s="2"/>
      <c r="M7" s="44" t="s">
        <v>6</v>
      </c>
      <c r="N7" s="26" t="s">
        <v>9</v>
      </c>
      <c r="O7" s="19">
        <v>1</v>
      </c>
      <c r="P7" s="12">
        <v>2</v>
      </c>
      <c r="Q7" s="13">
        <v>3</v>
      </c>
      <c r="R7" s="13">
        <v>4</v>
      </c>
      <c r="S7" s="14">
        <v>5</v>
      </c>
      <c r="T7" s="2"/>
      <c r="U7" s="2"/>
      <c r="V7" s="2"/>
    </row>
    <row r="8" spans="1:22" ht="59" thickTop="1" thickBot="1" x14ac:dyDescent="0.4">
      <c r="A8" s="2"/>
      <c r="B8" s="37" t="s">
        <v>44</v>
      </c>
      <c r="C8" s="3" t="s">
        <v>46</v>
      </c>
      <c r="D8" s="4">
        <f t="shared" si="0"/>
        <v>10</v>
      </c>
      <c r="E8" s="4">
        <v>2</v>
      </c>
      <c r="F8" s="4">
        <v>5</v>
      </c>
      <c r="G8" s="3" t="s">
        <v>35</v>
      </c>
      <c r="H8" s="7" t="s">
        <v>47</v>
      </c>
      <c r="I8" s="2"/>
      <c r="J8" s="2"/>
      <c r="K8" s="2"/>
      <c r="L8" s="2"/>
      <c r="M8" s="44"/>
      <c r="N8" s="27">
        <v>2</v>
      </c>
      <c r="O8" s="20">
        <v>2</v>
      </c>
      <c r="P8" s="13">
        <v>4</v>
      </c>
      <c r="Q8" s="14">
        <v>6</v>
      </c>
      <c r="R8" s="14">
        <v>8</v>
      </c>
      <c r="S8" s="15">
        <v>10</v>
      </c>
      <c r="T8" s="2"/>
      <c r="U8" s="2"/>
      <c r="V8" s="2"/>
    </row>
    <row r="9" spans="1:22" ht="59" thickTop="1" thickBot="1" x14ac:dyDescent="0.4">
      <c r="A9" s="2"/>
      <c r="B9" s="37" t="s">
        <v>12</v>
      </c>
      <c r="C9" s="3" t="s">
        <v>51</v>
      </c>
      <c r="D9" s="4">
        <f t="shared" si="0"/>
        <v>6</v>
      </c>
      <c r="E9" s="4">
        <v>2</v>
      </c>
      <c r="F9" s="4">
        <v>3</v>
      </c>
      <c r="G9" s="3" t="s">
        <v>13</v>
      </c>
      <c r="H9" s="7" t="s">
        <v>52</v>
      </c>
      <c r="I9" s="2"/>
      <c r="J9" s="2"/>
      <c r="K9" s="2"/>
      <c r="L9" s="2"/>
      <c r="M9" s="44"/>
      <c r="N9" s="27">
        <v>3</v>
      </c>
      <c r="O9" s="21">
        <v>3</v>
      </c>
      <c r="P9" s="14">
        <v>6</v>
      </c>
      <c r="Q9" s="15">
        <v>9</v>
      </c>
      <c r="R9" s="15">
        <v>12</v>
      </c>
      <c r="S9" s="16">
        <v>15</v>
      </c>
      <c r="T9" s="2"/>
      <c r="U9" s="2"/>
      <c r="V9" s="2"/>
    </row>
    <row r="10" spans="1:22" ht="73.5" thickTop="1" thickBot="1" x14ac:dyDescent="0.4">
      <c r="A10" s="2"/>
      <c r="B10" s="37" t="s">
        <v>28</v>
      </c>
      <c r="C10" s="40" t="s">
        <v>54</v>
      </c>
      <c r="D10" s="4">
        <f t="shared" si="0"/>
        <v>6</v>
      </c>
      <c r="E10" s="4">
        <v>2</v>
      </c>
      <c r="F10" s="4">
        <v>3</v>
      </c>
      <c r="G10" s="3" t="s">
        <v>53</v>
      </c>
      <c r="H10" s="7" t="s">
        <v>55</v>
      </c>
      <c r="I10" s="2"/>
      <c r="J10" s="2"/>
      <c r="K10" s="2"/>
      <c r="L10" s="2"/>
      <c r="M10" s="44"/>
      <c r="N10" s="27">
        <v>4</v>
      </c>
      <c r="O10" s="21">
        <v>4</v>
      </c>
      <c r="P10" s="14">
        <v>8</v>
      </c>
      <c r="Q10" s="15">
        <v>12</v>
      </c>
      <c r="R10" s="16">
        <v>16</v>
      </c>
      <c r="S10" s="17">
        <v>20</v>
      </c>
      <c r="T10" s="2"/>
      <c r="U10" s="2"/>
      <c r="V10" s="2"/>
    </row>
    <row r="11" spans="1:22" ht="59" thickTop="1" thickBot="1" x14ac:dyDescent="0.4">
      <c r="A11" s="2"/>
      <c r="B11" s="37" t="s">
        <v>22</v>
      </c>
      <c r="C11" s="3" t="s">
        <v>48</v>
      </c>
      <c r="D11" s="4">
        <f t="shared" si="0"/>
        <v>4</v>
      </c>
      <c r="E11" s="4">
        <v>2</v>
      </c>
      <c r="F11" s="4">
        <v>2</v>
      </c>
      <c r="G11" s="3" t="s">
        <v>49</v>
      </c>
      <c r="H11" s="7" t="s">
        <v>50</v>
      </c>
      <c r="I11" s="2"/>
      <c r="J11" s="2"/>
      <c r="K11" s="2"/>
      <c r="L11" s="2"/>
      <c r="M11" s="44"/>
      <c r="N11" s="28" t="s">
        <v>10</v>
      </c>
      <c r="O11" s="22">
        <v>5</v>
      </c>
      <c r="P11" s="15">
        <v>10</v>
      </c>
      <c r="Q11" s="16">
        <v>15</v>
      </c>
      <c r="R11" s="17">
        <v>20</v>
      </c>
      <c r="S11" s="18">
        <v>25</v>
      </c>
      <c r="T11" s="2"/>
      <c r="U11" s="2"/>
      <c r="V11" s="2"/>
    </row>
    <row r="12" spans="1:22" ht="58" x14ac:dyDescent="0.35">
      <c r="A12" s="2"/>
      <c r="B12" s="8" t="s">
        <v>43</v>
      </c>
      <c r="C12" s="3" t="s">
        <v>26</v>
      </c>
      <c r="D12" s="10">
        <f t="shared" si="0"/>
        <v>3</v>
      </c>
      <c r="E12" s="10">
        <v>1</v>
      </c>
      <c r="F12" s="5">
        <v>3</v>
      </c>
      <c r="G12" s="9" t="s">
        <v>27</v>
      </c>
      <c r="H12" s="11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5">
      <c r="A13" s="2"/>
      <c r="B13" s="2"/>
      <c r="C13" s="3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3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</sheetData>
  <autoFilter ref="B3:H12" xr:uid="{76A59BFD-0857-4E17-BF79-D50C80A4342C}">
    <sortState xmlns:xlrd2="http://schemas.microsoft.com/office/spreadsheetml/2017/richdata2" ref="B4:H12">
      <sortCondition descending="1" ref="D3:D12"/>
    </sortState>
  </autoFilter>
  <sortState xmlns:xlrd2="http://schemas.microsoft.com/office/spreadsheetml/2017/richdata2" ref="B4:H12">
    <sortCondition descending="1" ref="D4:D12"/>
  </sortState>
  <mergeCells count="3">
    <mergeCell ref="L4:O4"/>
    <mergeCell ref="O5:S5"/>
    <mergeCell ref="M7:M11"/>
  </mergeCells>
  <conditionalFormatting sqref="D4:D12">
    <cfRule type="cellIs" dxfId="15" priority="1" operator="equal">
      <formula>25</formula>
    </cfRule>
    <cfRule type="cellIs" dxfId="14" priority="2" operator="equal">
      <formula>20</formula>
    </cfRule>
    <cfRule type="cellIs" dxfId="13" priority="3" operator="between">
      <formula>15</formula>
      <formula>16</formula>
    </cfRule>
    <cfRule type="cellIs" dxfId="12" priority="4" operator="between">
      <formula>9</formula>
      <formula>12</formula>
    </cfRule>
    <cfRule type="cellIs" dxfId="11" priority="5" operator="between">
      <formula>5</formula>
      <formula>8</formula>
    </cfRule>
    <cfRule type="cellIs" dxfId="10" priority="6" operator="between">
      <formula>3</formula>
      <formula>4</formula>
    </cfRule>
    <cfRule type="cellIs" dxfId="9" priority="7" operator="equal">
      <formula>2</formula>
    </cfRule>
    <cfRule type="cellIs" dxfId="8" priority="8" operator="equal">
      <formula>1</formula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384D9C-B25B-4105-BDAB-BB6B8DFF6991}">
  <sheetPr>
    <pageSetUpPr autoPageBreaks="0"/>
  </sheetPr>
  <dimension ref="A1:V36"/>
  <sheetViews>
    <sheetView zoomScale="85" zoomScaleNormal="85" workbookViewId="0">
      <selection activeCell="H7" sqref="H7"/>
    </sheetView>
  </sheetViews>
  <sheetFormatPr defaultRowHeight="14.5" x14ac:dyDescent="0.35"/>
  <cols>
    <col min="1" max="1" width="8.7265625" customWidth="1"/>
    <col min="2" max="2" width="25.6328125" customWidth="1"/>
    <col min="3" max="3" width="30.26953125" customWidth="1"/>
    <col min="4" max="6" width="8.1796875" customWidth="1"/>
    <col min="7" max="7" width="23.26953125" customWidth="1"/>
    <col min="8" max="8" width="29.54296875" customWidth="1"/>
  </cols>
  <sheetData>
    <row r="1" spans="1:22" x14ac:dyDescent="0.3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</row>
    <row r="2" spans="1:22" ht="21" x14ac:dyDescent="0.35">
      <c r="A2" s="2"/>
      <c r="B2" s="35" t="s">
        <v>24</v>
      </c>
      <c r="C2" s="33" t="s">
        <v>0</v>
      </c>
      <c r="D2" s="33" t="s">
        <v>4</v>
      </c>
      <c r="E2" s="33" t="s">
        <v>1</v>
      </c>
      <c r="F2" s="33" t="s">
        <v>2</v>
      </c>
      <c r="G2" s="33" t="s">
        <v>3</v>
      </c>
      <c r="H2" s="34" t="s">
        <v>5</v>
      </c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spans="1:22" x14ac:dyDescent="0.35">
      <c r="A3" s="2"/>
      <c r="B3" s="36"/>
      <c r="C3" s="1"/>
      <c r="D3" s="1"/>
      <c r="E3" s="1"/>
      <c r="F3" s="1"/>
      <c r="G3" s="1"/>
      <c r="H3" s="1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</row>
    <row r="4" spans="1:22" ht="79.5" customHeight="1" x14ac:dyDescent="0.55000000000000004">
      <c r="A4" s="2"/>
      <c r="B4" s="37" t="s">
        <v>17</v>
      </c>
      <c r="C4" s="3" t="s">
        <v>40</v>
      </c>
      <c r="D4" s="4">
        <f>E4*F4</f>
        <v>10</v>
      </c>
      <c r="E4" s="4">
        <v>2</v>
      </c>
      <c r="F4" s="4">
        <v>5</v>
      </c>
      <c r="G4" s="3" t="s">
        <v>18</v>
      </c>
      <c r="H4" s="7" t="s">
        <v>42</v>
      </c>
      <c r="I4" s="2"/>
      <c r="J4" s="2"/>
      <c r="K4" s="2"/>
      <c r="L4" s="41" t="s">
        <v>11</v>
      </c>
      <c r="M4" s="42"/>
      <c r="N4" s="42"/>
      <c r="O4" s="42"/>
      <c r="P4" s="2"/>
      <c r="Q4" s="2"/>
      <c r="R4" s="2"/>
      <c r="S4" s="2"/>
      <c r="T4" s="2"/>
      <c r="U4" s="2"/>
    </row>
    <row r="5" spans="1:22" ht="58.5" thickBot="1" x14ac:dyDescent="0.4">
      <c r="A5" s="2"/>
      <c r="B5" s="37" t="s">
        <v>44</v>
      </c>
      <c r="C5" s="3" t="s">
        <v>46</v>
      </c>
      <c r="D5" s="4">
        <f>E5*F5</f>
        <v>10</v>
      </c>
      <c r="E5" s="4">
        <v>2</v>
      </c>
      <c r="F5" s="4">
        <v>5</v>
      </c>
      <c r="G5" s="3" t="s">
        <v>35</v>
      </c>
      <c r="H5" s="8" t="s">
        <v>47</v>
      </c>
      <c r="I5" s="2"/>
      <c r="J5" s="2"/>
      <c r="K5" s="2"/>
      <c r="L5" s="2"/>
      <c r="M5" s="2"/>
      <c r="N5" s="2"/>
      <c r="O5" s="45" t="s">
        <v>3</v>
      </c>
      <c r="P5" s="45"/>
      <c r="Q5" s="45"/>
      <c r="R5" s="45"/>
      <c r="S5" s="45"/>
      <c r="T5" s="2"/>
      <c r="U5" s="2"/>
      <c r="V5" s="2"/>
    </row>
    <row r="6" spans="1:22" ht="59" thickTop="1" thickBot="1" x14ac:dyDescent="0.4">
      <c r="A6" s="2"/>
      <c r="B6" s="37" t="s">
        <v>19</v>
      </c>
      <c r="C6" s="3" t="s">
        <v>41</v>
      </c>
      <c r="D6" s="4">
        <f>E6*F6</f>
        <v>10</v>
      </c>
      <c r="E6" s="4">
        <v>2</v>
      </c>
      <c r="F6" s="4">
        <v>5</v>
      </c>
      <c r="G6" s="3" t="s">
        <v>20</v>
      </c>
      <c r="H6" s="6" t="s">
        <v>57</v>
      </c>
      <c r="I6" s="2"/>
      <c r="J6" s="2"/>
      <c r="K6" s="2"/>
      <c r="L6" s="2"/>
      <c r="M6" s="2"/>
      <c r="O6" s="23" t="s">
        <v>7</v>
      </c>
      <c r="P6" s="24">
        <v>2</v>
      </c>
      <c r="Q6" s="24">
        <v>3</v>
      </c>
      <c r="R6" s="24">
        <v>4</v>
      </c>
      <c r="S6" s="25" t="s">
        <v>8</v>
      </c>
      <c r="T6" s="2"/>
      <c r="U6" s="2"/>
      <c r="V6" s="2"/>
    </row>
    <row r="7" spans="1:22" ht="73.5" thickTop="1" thickBot="1" x14ac:dyDescent="0.4">
      <c r="A7" s="2"/>
      <c r="B7" s="37" t="s">
        <v>14</v>
      </c>
      <c r="C7" s="3" t="s">
        <v>25</v>
      </c>
      <c r="D7" s="4">
        <f>E7*F7</f>
        <v>10</v>
      </c>
      <c r="E7" s="4">
        <v>2</v>
      </c>
      <c r="F7" s="4">
        <v>5</v>
      </c>
      <c r="G7" s="3" t="s">
        <v>39</v>
      </c>
      <c r="H7" s="7" t="s">
        <v>59</v>
      </c>
      <c r="I7" s="2"/>
      <c r="J7" s="2"/>
      <c r="K7" s="2"/>
      <c r="L7" s="2"/>
      <c r="M7" s="44" t="s">
        <v>6</v>
      </c>
      <c r="N7" s="26" t="s">
        <v>9</v>
      </c>
      <c r="O7" s="19">
        <v>1</v>
      </c>
      <c r="P7" s="12">
        <v>2</v>
      </c>
      <c r="Q7" s="13">
        <v>3</v>
      </c>
      <c r="R7" s="13">
        <v>4</v>
      </c>
      <c r="S7" s="14">
        <v>5</v>
      </c>
      <c r="T7" s="2"/>
      <c r="U7" s="2"/>
      <c r="V7" s="2"/>
    </row>
    <row r="8" spans="1:22" ht="73.5" thickTop="1" thickBot="1" x14ac:dyDescent="0.4">
      <c r="A8" s="2"/>
      <c r="B8" s="37" t="s">
        <v>36</v>
      </c>
      <c r="C8" s="3" t="s">
        <v>37</v>
      </c>
      <c r="D8" s="4">
        <f>E8*F8</f>
        <v>8</v>
      </c>
      <c r="E8" s="4">
        <v>2</v>
      </c>
      <c r="F8" s="4">
        <v>4</v>
      </c>
      <c r="G8" s="3" t="s">
        <v>15</v>
      </c>
      <c r="H8" s="7" t="s">
        <v>56</v>
      </c>
      <c r="I8" s="2"/>
      <c r="J8" s="2"/>
      <c r="K8" s="2"/>
      <c r="L8" s="2"/>
      <c r="M8" s="44"/>
      <c r="N8" s="27">
        <v>2</v>
      </c>
      <c r="O8" s="20">
        <v>2</v>
      </c>
      <c r="P8" s="13">
        <v>4</v>
      </c>
      <c r="Q8" s="14">
        <v>6</v>
      </c>
      <c r="R8" s="14">
        <v>8</v>
      </c>
      <c r="S8" s="15">
        <v>10</v>
      </c>
      <c r="T8" s="2"/>
      <c r="U8" s="2"/>
      <c r="V8" s="2"/>
    </row>
    <row r="9" spans="1:22" ht="73.5" thickTop="1" thickBot="1" x14ac:dyDescent="0.4">
      <c r="A9" s="2"/>
      <c r="B9" s="37" t="s">
        <v>28</v>
      </c>
      <c r="C9" s="40" t="s">
        <v>54</v>
      </c>
      <c r="D9" s="4">
        <f>E9*F9</f>
        <v>6</v>
      </c>
      <c r="E9" s="4">
        <v>2</v>
      </c>
      <c r="F9" s="4">
        <v>3</v>
      </c>
      <c r="G9" s="3" t="s">
        <v>53</v>
      </c>
      <c r="H9" s="7" t="s">
        <v>55</v>
      </c>
      <c r="I9" s="2"/>
      <c r="J9" s="2"/>
      <c r="K9" s="2"/>
      <c r="L9" s="2"/>
      <c r="M9" s="44"/>
      <c r="N9" s="27">
        <v>3</v>
      </c>
      <c r="O9" s="21">
        <v>3</v>
      </c>
      <c r="P9" s="14">
        <v>6</v>
      </c>
      <c r="Q9" s="15">
        <v>9</v>
      </c>
      <c r="R9" s="15">
        <v>12</v>
      </c>
      <c r="S9" s="16">
        <v>15</v>
      </c>
      <c r="T9" s="2"/>
      <c r="U9" s="2"/>
      <c r="V9" s="2"/>
    </row>
    <row r="10" spans="1:22" ht="59" thickTop="1" thickBot="1" x14ac:dyDescent="0.4">
      <c r="A10" s="2"/>
      <c r="B10" s="37" t="s">
        <v>12</v>
      </c>
      <c r="C10" s="3" t="s">
        <v>51</v>
      </c>
      <c r="D10" s="4">
        <f>E10*F10</f>
        <v>4</v>
      </c>
      <c r="E10" s="4">
        <v>2</v>
      </c>
      <c r="F10" s="4">
        <v>2</v>
      </c>
      <c r="G10" s="3" t="s">
        <v>13</v>
      </c>
      <c r="H10" s="7" t="s">
        <v>52</v>
      </c>
      <c r="I10" s="2"/>
      <c r="J10" s="2"/>
      <c r="K10" s="2"/>
      <c r="L10" s="2"/>
      <c r="M10" s="44"/>
      <c r="N10" s="27">
        <v>4</v>
      </c>
      <c r="O10" s="21">
        <v>4</v>
      </c>
      <c r="P10" s="14">
        <v>8</v>
      </c>
      <c r="Q10" s="15">
        <v>12</v>
      </c>
      <c r="R10" s="16">
        <v>16</v>
      </c>
      <c r="S10" s="17">
        <v>20</v>
      </c>
      <c r="T10" s="2"/>
      <c r="U10" s="2"/>
      <c r="V10" s="2"/>
    </row>
    <row r="11" spans="1:22" ht="59" thickTop="1" thickBot="1" x14ac:dyDescent="0.4">
      <c r="A11" s="2"/>
      <c r="B11" s="37" t="s">
        <v>22</v>
      </c>
      <c r="C11" s="3" t="s">
        <v>48</v>
      </c>
      <c r="D11" s="4">
        <f>E11*F11</f>
        <v>4</v>
      </c>
      <c r="E11" s="4">
        <v>2</v>
      </c>
      <c r="F11" s="4">
        <v>2</v>
      </c>
      <c r="G11" s="3" t="s">
        <v>49</v>
      </c>
      <c r="H11" s="7" t="s">
        <v>50</v>
      </c>
      <c r="I11" s="2"/>
      <c r="J11" s="2"/>
      <c r="K11" s="2"/>
      <c r="L11" s="2"/>
      <c r="M11" s="44"/>
      <c r="N11" s="28" t="s">
        <v>10</v>
      </c>
      <c r="O11" s="22">
        <v>5</v>
      </c>
      <c r="P11" s="15">
        <v>10</v>
      </c>
      <c r="Q11" s="16">
        <v>15</v>
      </c>
      <c r="R11" s="17">
        <v>20</v>
      </c>
      <c r="S11" s="18">
        <v>25</v>
      </c>
      <c r="T11" s="2"/>
      <c r="U11" s="2"/>
      <c r="V11" s="2"/>
    </row>
    <row r="12" spans="1:22" ht="58" x14ac:dyDescent="0.35">
      <c r="A12" s="2"/>
      <c r="B12" s="8" t="s">
        <v>43</v>
      </c>
      <c r="C12" s="3" t="s">
        <v>26</v>
      </c>
      <c r="D12" s="10">
        <f>E12*F12</f>
        <v>3</v>
      </c>
      <c r="E12" s="10">
        <v>1</v>
      </c>
      <c r="F12" s="5">
        <v>3</v>
      </c>
      <c r="G12" s="9" t="s">
        <v>27</v>
      </c>
      <c r="H12" s="11" t="s">
        <v>16</v>
      </c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</row>
    <row r="13" spans="1:22" x14ac:dyDescent="0.35">
      <c r="A13" s="2"/>
      <c r="B13" s="2"/>
      <c r="C13" s="39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</row>
    <row r="14" spans="1:22" x14ac:dyDescent="0.35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</row>
    <row r="15" spans="1:22" x14ac:dyDescent="0.3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</row>
    <row r="16" spans="1:22" x14ac:dyDescent="0.35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</row>
    <row r="17" spans="1:22" x14ac:dyDescent="0.35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</row>
    <row r="18" spans="1:22" x14ac:dyDescent="0.35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</row>
    <row r="19" spans="1:22" x14ac:dyDescent="0.35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</row>
    <row r="20" spans="1:22" x14ac:dyDescent="0.35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</row>
    <row r="21" spans="1:22" x14ac:dyDescent="0.35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</row>
    <row r="22" spans="1:22" x14ac:dyDescent="0.35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</row>
    <row r="23" spans="1:22" x14ac:dyDescent="0.3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</row>
    <row r="24" spans="1:22" x14ac:dyDescent="0.3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</row>
    <row r="25" spans="1:22" x14ac:dyDescent="0.3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</row>
    <row r="26" spans="1:22" x14ac:dyDescent="0.35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</row>
    <row r="27" spans="1:22" x14ac:dyDescent="0.3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</row>
    <row r="28" spans="1:22" x14ac:dyDescent="0.3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</row>
    <row r="29" spans="1:22" x14ac:dyDescent="0.3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</row>
    <row r="30" spans="1:22" x14ac:dyDescent="0.3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</row>
    <row r="31" spans="1:22" x14ac:dyDescent="0.3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</row>
    <row r="32" spans="1:22" x14ac:dyDescent="0.3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</row>
    <row r="33" spans="1:22" x14ac:dyDescent="0.3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</row>
    <row r="34" spans="1:22" x14ac:dyDescent="0.3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</row>
    <row r="35" spans="1:22" x14ac:dyDescent="0.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</row>
    <row r="36" spans="1:22" x14ac:dyDescent="0.35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</row>
  </sheetData>
  <autoFilter ref="B3:H12" xr:uid="{76A59BFD-0857-4E17-BF79-D50C80A4342C}">
    <sortState xmlns:xlrd2="http://schemas.microsoft.com/office/spreadsheetml/2017/richdata2" ref="B4:H12">
      <sortCondition descending="1" ref="D3:D12"/>
    </sortState>
  </autoFilter>
  <mergeCells count="3">
    <mergeCell ref="L4:O4"/>
    <mergeCell ref="O5:S5"/>
    <mergeCell ref="M7:M11"/>
  </mergeCells>
  <conditionalFormatting sqref="D4:D12">
    <cfRule type="cellIs" dxfId="7" priority="1" operator="equal">
      <formula>25</formula>
    </cfRule>
    <cfRule type="cellIs" dxfId="6" priority="2" operator="equal">
      <formula>20</formula>
    </cfRule>
    <cfRule type="cellIs" dxfId="5" priority="3" operator="between">
      <formula>15</formula>
      <formula>16</formula>
    </cfRule>
    <cfRule type="cellIs" dxfId="4" priority="4" operator="between">
      <formula>9</formula>
      <formula>12</formula>
    </cfRule>
    <cfRule type="cellIs" dxfId="3" priority="5" operator="between">
      <formula>5</formula>
      <formula>8</formula>
    </cfRule>
    <cfRule type="cellIs" dxfId="2" priority="6" operator="between">
      <formula>3</formula>
      <formula>4</formula>
    </cfRule>
    <cfRule type="cellIs" dxfId="1" priority="7" operator="equal">
      <formula>2</formula>
    </cfRule>
    <cfRule type="cellIs" dxfId="0" priority="8" operator="equal">
      <formula>1</formula>
    </cfRule>
  </conditionalFormatting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94A6E506DE4941AF22E41499C9FA2D" ma:contentTypeVersion="10" ma:contentTypeDescription="Create a new document." ma:contentTypeScope="" ma:versionID="c4b487b1830f5a7fe6c41bd4a1f1cdb8">
  <xsd:schema xmlns:xsd="http://www.w3.org/2001/XMLSchema" xmlns:xs="http://www.w3.org/2001/XMLSchema" xmlns:p="http://schemas.microsoft.com/office/2006/metadata/properties" xmlns:ns2="1d660c6e-e1e5-4e72-b7f8-271ef1b87bbd" xmlns:ns3="66ed9b71-3a27-4bc9-a2da-0267a626ff50" targetNamespace="http://schemas.microsoft.com/office/2006/metadata/properties" ma:root="true" ma:fieldsID="1fe2862ff52a8361f470ce6888c0015e" ns2:_="" ns3:_="">
    <xsd:import namespace="1d660c6e-e1e5-4e72-b7f8-271ef1b87bbd"/>
    <xsd:import namespace="66ed9b71-3a27-4bc9-a2da-0267a626ff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660c6e-e1e5-4e72-b7f8-271ef1b87b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d602765-7830-46ba-a66b-13b8df2c5cf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6ed9b71-3a27-4bc9-a2da-0267a626ff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4e321e9-85bb-4f7f-8d10-9d5f9625410a}" ma:internalName="TaxCatchAll" ma:showField="CatchAllData" ma:web="66ed9b71-3a27-4bc9-a2da-0267a626ff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6ed9b71-3a27-4bc9-a2da-0267a626ff50" xsi:nil="true"/>
    <lcf76f155ced4ddcb4097134ff3c332f xmlns="1d660c6e-e1e5-4e72-b7f8-271ef1b87bbd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15E5464-F2C1-4913-A405-C28FDC4A9D0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d660c6e-e1e5-4e72-b7f8-271ef1b87bbd"/>
    <ds:schemaRef ds:uri="66ed9b71-3a27-4bc9-a2da-0267a626ff5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37F17D-D8B7-40F0-B584-B1BEFA9CB1E8}">
  <ds:schemaRefs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schemas.microsoft.com/office/infopath/2007/PartnerControls"/>
    <ds:schemaRef ds:uri="http://purl.org/dc/terms/"/>
    <ds:schemaRef ds:uri="http://www.w3.org/XML/1998/namespace"/>
    <ds:schemaRef ds:uri="http://purl.org/dc/dcmitype/"/>
    <ds:schemaRef ds:uri="66ed9b71-3a27-4bc9-a2da-0267a626ff50"/>
    <ds:schemaRef ds:uri="1d660c6e-e1e5-4e72-b7f8-271ef1b87bbd"/>
  </ds:schemaRefs>
</ds:datastoreItem>
</file>

<file path=customXml/itemProps3.xml><?xml version="1.0" encoding="utf-8"?>
<ds:datastoreItem xmlns:ds="http://schemas.openxmlformats.org/officeDocument/2006/customXml" ds:itemID="{C75F5F0B-8E14-4FE0-A7A1-1E99DC62D92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Risk Assessment Up To Date</vt:lpstr>
      <vt:lpstr>Riscos 06_12</vt:lpstr>
      <vt:lpstr>Riscos 10_04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Gonçalo Ramos</dc:creator>
  <cp:lastModifiedBy>Gonçalo Ramos</cp:lastModifiedBy>
  <dcterms:created xsi:type="dcterms:W3CDTF">2025-11-29T11:04:50Z</dcterms:created>
  <dcterms:modified xsi:type="dcterms:W3CDTF">2026-04-10T17:36:55Z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0x010100D194A6E506DE4941AF22E41499C9FA2D</vt:lpwstr>
  </property>
  <property fmtid="{D5CDD505-2E9C-101B-9397-08002B2CF9AE}" pid="3" name="MediaServiceImageTags">
    <vt:lpwstr/>
  </property>
</Properties>
</file>