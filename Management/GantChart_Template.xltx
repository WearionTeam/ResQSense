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C:\Users\am226\Desktop\PEE\"/>
    </mc:Choice>
  </mc:AlternateContent>
  <xr:revisionPtr revIDLastSave="0" documentId="8_{8D25A8F7-2C80-493F-BA69-216D82C274D9}" xr6:coauthVersionLast="47" xr6:coauthVersionMax="47" xr10:uidLastSave="{00000000-0000-0000-0000-000000000000}"/>
  <bookViews>
    <workbookView xWindow="-108" yWindow="-108" windowWidth="23256" windowHeight="12456" xr2:uid="{1D940E0F-A6F6-424C-9455-BF3FA96B6180}"/>
  </bookViews>
  <sheets>
    <sheet name="Gantt Char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G6" i="1" s="1"/>
  <c r="H6" i="1" s="1"/>
  <c r="I6" i="1" s="1"/>
  <c r="J6" i="1" s="1"/>
  <c r="K6" i="1" s="1"/>
  <c r="L6" i="1" s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A7" i="1" s="1"/>
  <c r="D10" i="1"/>
  <c r="D11" i="1"/>
  <c r="D14" i="1"/>
  <c r="D15" i="1"/>
  <c r="D16" i="1"/>
  <c r="D17" i="1"/>
  <c r="D20" i="1"/>
  <c r="D21" i="1"/>
  <c r="D22" i="1"/>
  <c r="D23" i="1"/>
  <c r="D9" i="1"/>
  <c r="W7" i="1" l="1"/>
  <c r="S7" i="1"/>
  <c r="R7" i="1"/>
  <c r="Q7" i="1"/>
  <c r="P7" i="1"/>
  <c r="V7" i="1"/>
  <c r="O7" i="1"/>
  <c r="N7" i="1"/>
  <c r="U7" i="1"/>
  <c r="M7" i="1"/>
  <c r="L7" i="1"/>
  <c r="T7" i="1"/>
  <c r="K7" i="1"/>
  <c r="Z7" i="1"/>
  <c r="J7" i="1"/>
  <c r="Y7" i="1"/>
  <c r="I7" i="1"/>
  <c r="X7" i="1"/>
  <c r="H7" i="1"/>
  <c r="G7" i="1"/>
  <c r="B5" i="1"/>
  <c r="AB6" i="1"/>
  <c r="AB7" i="1" s="1"/>
  <c r="AC6" i="1" l="1"/>
  <c r="AC7" i="1" s="1"/>
  <c r="AD6" i="1" l="1"/>
  <c r="AD7" i="1" s="1"/>
  <c r="AE6" i="1" l="1"/>
  <c r="AE7" i="1" s="1"/>
  <c r="AF6" i="1" l="1"/>
  <c r="AF7" i="1" s="1"/>
  <c r="AG6" i="1" l="1"/>
  <c r="AG7" i="1" s="1"/>
  <c r="AH6" i="1" l="1"/>
  <c r="AH7" i="1" s="1"/>
  <c r="AI6" i="1" l="1"/>
  <c r="AI7" i="1" s="1"/>
  <c r="AJ6" i="1" l="1"/>
  <c r="AJ7" i="1" s="1"/>
  <c r="AK6" i="1" l="1"/>
  <c r="AK7" i="1" s="1"/>
  <c r="AL6" i="1" l="1"/>
  <c r="AL7" i="1" s="1"/>
  <c r="AM6" i="1" l="1"/>
  <c r="AM7" i="1" s="1"/>
  <c r="AN6" i="1" l="1"/>
  <c r="AN7" i="1" s="1"/>
  <c r="AO6" i="1" l="1"/>
  <c r="AO7" i="1" s="1"/>
  <c r="AP6" i="1" l="1"/>
  <c r="AP7" i="1" s="1"/>
  <c r="AQ6" i="1" l="1"/>
  <c r="AQ7" i="1" s="1"/>
  <c r="AR6" i="1" l="1"/>
  <c r="AR7" i="1" s="1"/>
  <c r="AS6" i="1" l="1"/>
  <c r="AS7" i="1" s="1"/>
</calcChain>
</file>

<file path=xl/sharedStrings.xml><?xml version="1.0" encoding="utf-8"?>
<sst xmlns="http://schemas.openxmlformats.org/spreadsheetml/2006/main" count="23" uniqueCount="17">
  <si>
    <t>Nome do Projeto:</t>
  </si>
  <si>
    <t>Começo do Projeto:</t>
  </si>
  <si>
    <t>Data de Hoje:</t>
  </si>
  <si>
    <t>Semana:</t>
  </si>
  <si>
    <t>Atividade</t>
  </si>
  <si>
    <t>Começo</t>
  </si>
  <si>
    <t>Tempo estimado</t>
  </si>
  <si>
    <t>Fim</t>
  </si>
  <si>
    <t>Progresso</t>
  </si>
  <si>
    <t>Float</t>
  </si>
  <si>
    <t>Planeamento</t>
  </si>
  <si>
    <t>1. Atividade</t>
  </si>
  <si>
    <t>2. Atividade</t>
  </si>
  <si>
    <t>3. Ativiadade</t>
  </si>
  <si>
    <t>Execução</t>
  </si>
  <si>
    <t>Final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</si>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</sst>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[$-816]d/mmm;@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/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4" fontId="1" fillId="2" borderId="0" xfId="0" applyNumberFormat="1" applyFont="1" applyFill="1"/>
    <xf numFmtId="0" fontId="2" fillId="3" borderId="0" xfId="0" applyFont="1" applyFill="1"/>
    <xf numFmtId="1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0" fontId="2" fillId="4" borderId="0" xfId="0" applyFont="1" applyFill="1"/>
    <xf numFmtId="9" fontId="0" fillId="0" borderId="0" xfId="0" applyNumberFormat="1"/>
    <xf numFmtId="9" fontId="0" fillId="3" borderId="0" xfId="0" applyNumberFormat="1" applyFill="1"/>
    <xf numFmtId="1" fontId="2" fillId="3" borderId="0" xfId="0" applyNumberFormat="1" applyFont="1" applyFill="1"/>
    <xf numFmtId="1" fontId="2" fillId="3" borderId="0" xfId="0" applyNumberFormat="1" applyFont="1" applyFill="1" applyAlignment="1">
      <alignment horizontal="center"/>
    </xf>
  </cellXfs>
  <cellStyles count="1">
    <cellStyle name="Normal" xfId="0" builtinId="0"/>
  </cellStyles>
  <dxfs count="4">
    <dxf>
      <fill>
        <patternFill>
          <bgColor theme="6" tint="0.79998168889431442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border>
        <left style="thin">
          <color rgb="FF00B0F0"/>
        </left>
        <right style="thin">
          <color rgb="FF00B0F0"/>
        </right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AB515-2AB8-4DE6-8AB9-F6D59FAB353D}">
  <dimension ref="A2:AT36"/>
  <sheetViews>
    <sheetView tabSelected="1" zoomScale="83" zoomScaleNormal="145" workbookViewId="0">
      <selection activeCell="I2" sqref="I2"/>
    </sheetView>
  </sheetViews>
  <sheetFormatPr defaultRowHeight="14.4" x14ac:dyDescent="0.3"/>
  <cols>
    <col min="1" max="1" width="17.88671875" customWidth="1"/>
    <col min="2" max="2" width="11.33203125" customWidth="1"/>
    <col min="3" max="3" width="14.6640625" customWidth="1"/>
    <col min="4" max="4" width="12.33203125" customWidth="1"/>
    <col min="5" max="6" width="10.44140625" customWidth="1"/>
    <col min="7" max="45" width="10.6640625" customWidth="1"/>
  </cols>
  <sheetData>
    <row r="2" spans="1:46" x14ac:dyDescent="0.3">
      <c r="A2" s="4" t="s">
        <v>0</v>
      </c>
      <c r="I2" t="s">
        <v>16</v>
      </c>
    </row>
    <row r="3" spans="1:46" ht="14.4" customHeight="1" x14ac:dyDescent="0.3">
      <c r="A3" s="4" t="s">
        <v>1</v>
      </c>
      <c r="B3" s="3">
        <v>45920</v>
      </c>
      <c r="C3" s="1"/>
      <c r="D3" s="2"/>
      <c r="E3" s="2"/>
      <c r="F3" s="2"/>
      <c r="G3" s="2"/>
    </row>
    <row r="4" spans="1:46" ht="14.4" customHeight="1" x14ac:dyDescent="0.3">
      <c r="A4" s="4" t="s">
        <v>2</v>
      </c>
      <c r="B4" s="3">
        <f ca="1">TODAY()</f>
        <v>45928</v>
      </c>
      <c r="D4" s="2"/>
      <c r="E4" s="2"/>
      <c r="F4" s="2"/>
      <c r="G4" s="2"/>
    </row>
    <row r="5" spans="1:46" x14ac:dyDescent="0.3">
      <c r="A5" s="4" t="s">
        <v>3</v>
      </c>
      <c r="B5" s="1" t="str">
        <f ca="1">"Semana "&amp;INT(($B$4 - $B$3)/7)+1</f>
        <v>Semana 2</v>
      </c>
    </row>
    <row r="6" spans="1:46" x14ac:dyDescent="0.3">
      <c r="A6" s="8"/>
      <c r="B6" s="8"/>
      <c r="C6" s="8"/>
      <c r="D6" s="8"/>
      <c r="E6" s="8"/>
      <c r="F6" s="8"/>
      <c r="G6" s="15">
        <f ca="1">B4</f>
        <v>45928</v>
      </c>
      <c r="H6" s="15">
        <f ca="1">G$6+7</f>
        <v>45935</v>
      </c>
      <c r="I6" s="15">
        <f t="shared" ref="I6:AS6" ca="1" si="0">H$6+7</f>
        <v>45942</v>
      </c>
      <c r="J6" s="15">
        <f t="shared" ca="1" si="0"/>
        <v>45949</v>
      </c>
      <c r="K6" s="15">
        <f t="shared" ca="1" si="0"/>
        <v>45956</v>
      </c>
      <c r="L6" s="15">
        <f t="shared" ca="1" si="0"/>
        <v>45963</v>
      </c>
      <c r="M6" s="15">
        <f t="shared" ca="1" si="0"/>
        <v>45970</v>
      </c>
      <c r="N6" s="15">
        <f t="shared" ca="1" si="0"/>
        <v>45977</v>
      </c>
      <c r="O6" s="15">
        <f t="shared" ca="1" si="0"/>
        <v>45984</v>
      </c>
      <c r="P6" s="15">
        <f t="shared" ca="1" si="0"/>
        <v>45991</v>
      </c>
      <c r="Q6" s="15">
        <f t="shared" ca="1" si="0"/>
        <v>45998</v>
      </c>
      <c r="R6" s="15">
        <f t="shared" ca="1" si="0"/>
        <v>46005</v>
      </c>
      <c r="S6" s="15">
        <f t="shared" ca="1" si="0"/>
        <v>46012</v>
      </c>
      <c r="T6" s="15">
        <f t="shared" ca="1" si="0"/>
        <v>46019</v>
      </c>
      <c r="U6" s="15">
        <f t="shared" ca="1" si="0"/>
        <v>46026</v>
      </c>
      <c r="V6" s="15">
        <f t="shared" ca="1" si="0"/>
        <v>46033</v>
      </c>
      <c r="W6" s="15">
        <f t="shared" ca="1" si="0"/>
        <v>46040</v>
      </c>
      <c r="X6" s="15">
        <f t="shared" ca="1" si="0"/>
        <v>46047</v>
      </c>
      <c r="Y6" s="15">
        <f t="shared" ca="1" si="0"/>
        <v>46054</v>
      </c>
      <c r="Z6" s="15">
        <f t="shared" ca="1" si="0"/>
        <v>46061</v>
      </c>
      <c r="AA6" s="15">
        <f t="shared" ca="1" si="0"/>
        <v>46068</v>
      </c>
      <c r="AB6" s="15">
        <f t="shared" ca="1" si="0"/>
        <v>46075</v>
      </c>
      <c r="AC6" s="15">
        <f t="shared" ca="1" si="0"/>
        <v>46082</v>
      </c>
      <c r="AD6" s="15">
        <f t="shared" ca="1" si="0"/>
        <v>46089</v>
      </c>
      <c r="AE6" s="15">
        <f t="shared" ca="1" si="0"/>
        <v>46096</v>
      </c>
      <c r="AF6" s="15">
        <f t="shared" ca="1" si="0"/>
        <v>46103</v>
      </c>
      <c r="AG6" s="15">
        <f t="shared" ca="1" si="0"/>
        <v>46110</v>
      </c>
      <c r="AH6" s="15">
        <f t="shared" ca="1" si="0"/>
        <v>46117</v>
      </c>
      <c r="AI6" s="15">
        <f t="shared" ca="1" si="0"/>
        <v>46124</v>
      </c>
      <c r="AJ6" s="15">
        <f t="shared" ca="1" si="0"/>
        <v>46131</v>
      </c>
      <c r="AK6" s="15">
        <f t="shared" ca="1" si="0"/>
        <v>46138</v>
      </c>
      <c r="AL6" s="15">
        <f t="shared" ca="1" si="0"/>
        <v>46145</v>
      </c>
      <c r="AM6" s="15">
        <f t="shared" ca="1" si="0"/>
        <v>46152</v>
      </c>
      <c r="AN6" s="15">
        <f t="shared" ca="1" si="0"/>
        <v>46159</v>
      </c>
      <c r="AO6" s="15">
        <f t="shared" ca="1" si="0"/>
        <v>46166</v>
      </c>
      <c r="AP6" s="15">
        <f t="shared" ca="1" si="0"/>
        <v>46173</v>
      </c>
      <c r="AQ6" s="15">
        <f t="shared" ca="1" si="0"/>
        <v>46180</v>
      </c>
      <c r="AR6" s="15">
        <f t="shared" ca="1" si="0"/>
        <v>46187</v>
      </c>
      <c r="AS6" s="15">
        <f t="shared" ca="1" si="0"/>
        <v>46194</v>
      </c>
    </row>
    <row r="7" spans="1:46" x14ac:dyDescent="0.3">
      <c r="A7" s="8" t="s">
        <v>4</v>
      </c>
      <c r="B7" s="8" t="s">
        <v>5</v>
      </c>
      <c r="C7" s="8" t="s">
        <v>6</v>
      </c>
      <c r="D7" s="9" t="s">
        <v>7</v>
      </c>
      <c r="E7" s="10" t="s">
        <v>8</v>
      </c>
      <c r="F7" s="8" t="s">
        <v>9</v>
      </c>
      <c r="G7" s="14" t="str">
        <f ca="1">"Semana "&amp;INT((G$6 - $B$3)/7)+1</f>
        <v>Semana 2</v>
      </c>
      <c r="H7" s="14" t="str">
        <f t="shared" ref="H7:AS7" ca="1" si="1">"Semana "&amp;INT((H$6 - $B$3)/7)+1</f>
        <v>Semana 3</v>
      </c>
      <c r="I7" s="14" t="str">
        <f t="shared" ca="1" si="1"/>
        <v>Semana 4</v>
      </c>
      <c r="J7" s="14" t="str">
        <f t="shared" ca="1" si="1"/>
        <v>Semana 5</v>
      </c>
      <c r="K7" s="14" t="str">
        <f t="shared" ca="1" si="1"/>
        <v>Semana 6</v>
      </c>
      <c r="L7" s="14" t="str">
        <f t="shared" ca="1" si="1"/>
        <v>Semana 7</v>
      </c>
      <c r="M7" s="14" t="str">
        <f t="shared" ca="1" si="1"/>
        <v>Semana 8</v>
      </c>
      <c r="N7" s="14" t="str">
        <f t="shared" ca="1" si="1"/>
        <v>Semana 9</v>
      </c>
      <c r="O7" s="14" t="str">
        <f t="shared" ca="1" si="1"/>
        <v>Semana 10</v>
      </c>
      <c r="P7" s="14" t="str">
        <f t="shared" ca="1" si="1"/>
        <v>Semana 11</v>
      </c>
      <c r="Q7" s="14" t="str">
        <f t="shared" ca="1" si="1"/>
        <v>Semana 12</v>
      </c>
      <c r="R7" s="14" t="str">
        <f t="shared" ca="1" si="1"/>
        <v>Semana 13</v>
      </c>
      <c r="S7" s="14" t="str">
        <f t="shared" ca="1" si="1"/>
        <v>Semana 14</v>
      </c>
      <c r="T7" s="14" t="str">
        <f t="shared" ca="1" si="1"/>
        <v>Semana 15</v>
      </c>
      <c r="U7" s="14" t="str">
        <f t="shared" ca="1" si="1"/>
        <v>Semana 16</v>
      </c>
      <c r="V7" s="14" t="str">
        <f t="shared" ca="1" si="1"/>
        <v>Semana 17</v>
      </c>
      <c r="W7" s="14" t="str">
        <f t="shared" ca="1" si="1"/>
        <v>Semana 18</v>
      </c>
      <c r="X7" s="14" t="str">
        <f t="shared" ca="1" si="1"/>
        <v>Semana 19</v>
      </c>
      <c r="Y7" s="14" t="str">
        <f t="shared" ca="1" si="1"/>
        <v>Semana 20</v>
      </c>
      <c r="Z7" s="14" t="str">
        <f t="shared" ca="1" si="1"/>
        <v>Semana 21</v>
      </c>
      <c r="AA7" s="14" t="str">
        <f t="shared" ca="1" si="1"/>
        <v>Semana 22</v>
      </c>
      <c r="AB7" s="14" t="str">
        <f t="shared" ca="1" si="1"/>
        <v>Semana 23</v>
      </c>
      <c r="AC7" s="14" t="str">
        <f t="shared" ca="1" si="1"/>
        <v>Semana 24</v>
      </c>
      <c r="AD7" s="14" t="str">
        <f t="shared" ca="1" si="1"/>
        <v>Semana 25</v>
      </c>
      <c r="AE7" s="14" t="str">
        <f t="shared" ca="1" si="1"/>
        <v>Semana 26</v>
      </c>
      <c r="AF7" s="14" t="str">
        <f t="shared" ca="1" si="1"/>
        <v>Semana 27</v>
      </c>
      <c r="AG7" s="14" t="str">
        <f t="shared" ca="1" si="1"/>
        <v>Semana 28</v>
      </c>
      <c r="AH7" s="14" t="str">
        <f t="shared" ca="1" si="1"/>
        <v>Semana 29</v>
      </c>
      <c r="AI7" s="14" t="str">
        <f t="shared" ca="1" si="1"/>
        <v>Semana 30</v>
      </c>
      <c r="AJ7" s="14" t="str">
        <f t="shared" ca="1" si="1"/>
        <v>Semana 31</v>
      </c>
      <c r="AK7" s="14" t="str">
        <f t="shared" ca="1" si="1"/>
        <v>Semana 32</v>
      </c>
      <c r="AL7" s="14" t="str">
        <f t="shared" ca="1" si="1"/>
        <v>Semana 33</v>
      </c>
      <c r="AM7" s="14" t="str">
        <f t="shared" ca="1" si="1"/>
        <v>Semana 34</v>
      </c>
      <c r="AN7" s="14" t="str">
        <f t="shared" ca="1" si="1"/>
        <v>Semana 35</v>
      </c>
      <c r="AO7" s="14" t="str">
        <f t="shared" ca="1" si="1"/>
        <v>Semana 36</v>
      </c>
      <c r="AP7" s="14" t="str">
        <f t="shared" ca="1" si="1"/>
        <v>Semana 37</v>
      </c>
      <c r="AQ7" s="14" t="str">
        <f t="shared" ca="1" si="1"/>
        <v>Semana 38</v>
      </c>
      <c r="AR7" s="14" t="str">
        <f t="shared" ca="1" si="1"/>
        <v>Semana 39</v>
      </c>
      <c r="AS7" s="14" t="str">
        <f t="shared" ca="1" si="1"/>
        <v>Semana 40</v>
      </c>
    </row>
    <row r="8" spans="1:46" x14ac:dyDescent="0.3">
      <c r="A8" s="11" t="s">
        <v>10</v>
      </c>
      <c r="B8" s="11"/>
      <c r="C8" s="11"/>
      <c r="D8" s="11"/>
      <c r="E8" s="11"/>
      <c r="F8" s="19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6" x14ac:dyDescent="0.3">
      <c r="A9" s="4" t="s">
        <v>11</v>
      </c>
      <c r="B9" s="7">
        <v>45927</v>
      </c>
      <c r="C9" s="6">
        <v>25</v>
      </c>
      <c r="D9" s="7">
        <f>IF($B9="","",$B9+$C9)</f>
        <v>45952</v>
      </c>
      <c r="E9" s="17">
        <v>0.5</v>
      </c>
      <c r="F9" s="6">
        <v>7</v>
      </c>
    </row>
    <row r="10" spans="1:46" x14ac:dyDescent="0.3">
      <c r="A10" s="4" t="s">
        <v>12</v>
      </c>
      <c r="B10" s="7">
        <v>45928</v>
      </c>
      <c r="C10" s="6">
        <v>2</v>
      </c>
      <c r="D10" s="7">
        <f>IF($B10="","",$B10+$C10)</f>
        <v>45930</v>
      </c>
      <c r="E10" s="17">
        <v>0.3</v>
      </c>
      <c r="F10" s="6"/>
    </row>
    <row r="11" spans="1:46" x14ac:dyDescent="0.3">
      <c r="A11" s="4" t="s">
        <v>13</v>
      </c>
      <c r="B11" s="7">
        <v>45929</v>
      </c>
      <c r="C11" s="6">
        <v>4</v>
      </c>
      <c r="D11" s="7">
        <f>IF($B11="","",$B11+$C11)</f>
        <v>45933</v>
      </c>
      <c r="E11" s="17">
        <v>0.3</v>
      </c>
      <c r="F11" s="6"/>
    </row>
    <row r="12" spans="1:46" x14ac:dyDescent="0.3">
      <c r="B12" s="7"/>
      <c r="C12" s="6"/>
      <c r="D12" s="7"/>
      <c r="E12" s="17"/>
      <c r="F12" s="6"/>
    </row>
    <row r="13" spans="1:46" x14ac:dyDescent="0.3">
      <c r="B13" s="7"/>
      <c r="C13" s="6"/>
      <c r="D13" s="7"/>
      <c r="E13" s="17"/>
      <c r="F13" s="6"/>
    </row>
    <row r="14" spans="1:46" x14ac:dyDescent="0.3">
      <c r="A14" s="11" t="s">
        <v>14</v>
      </c>
      <c r="B14" s="13"/>
      <c r="C14" s="12"/>
      <c r="D14" s="13" t="str">
        <f>IF($B14="","",$B14+$C14)</f>
        <v/>
      </c>
      <c r="E14" s="18"/>
      <c r="F14" s="2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6"/>
    </row>
    <row r="15" spans="1:46" x14ac:dyDescent="0.3">
      <c r="A15" s="4" t="s">
        <v>11</v>
      </c>
      <c r="B15" s="7">
        <v>45933</v>
      </c>
      <c r="C15" s="6">
        <v>6</v>
      </c>
      <c r="D15" s="7">
        <f>IF($B15="","",$B15+$C15)</f>
        <v>45939</v>
      </c>
      <c r="E15" s="17">
        <v>0.3</v>
      </c>
      <c r="F15" s="6"/>
    </row>
    <row r="16" spans="1:46" x14ac:dyDescent="0.3">
      <c r="A16" s="4" t="s">
        <v>12</v>
      </c>
      <c r="B16" s="7">
        <v>45934</v>
      </c>
      <c r="C16" s="6">
        <v>2</v>
      </c>
      <c r="D16" s="7">
        <f>IF($B16="","",$B16+$C16)</f>
        <v>45936</v>
      </c>
      <c r="E16" s="17">
        <v>0.3</v>
      </c>
      <c r="F16" s="6"/>
    </row>
    <row r="17" spans="1:45" x14ac:dyDescent="0.3">
      <c r="A17" s="4" t="s">
        <v>13</v>
      </c>
      <c r="B17" s="7">
        <v>45935</v>
      </c>
      <c r="C17" s="6">
        <v>1</v>
      </c>
      <c r="D17" s="7">
        <f>IF($B17="","",$B17+$C17)</f>
        <v>45936</v>
      </c>
      <c r="E17" s="17">
        <v>0.3</v>
      </c>
      <c r="F17" s="6"/>
    </row>
    <row r="18" spans="1:45" x14ac:dyDescent="0.3">
      <c r="B18" s="7"/>
      <c r="C18" s="6"/>
      <c r="D18" s="7"/>
      <c r="E18" s="17"/>
      <c r="F18" s="6"/>
    </row>
    <row r="19" spans="1:45" x14ac:dyDescent="0.3">
      <c r="B19" s="7"/>
      <c r="C19" s="6"/>
      <c r="D19" s="7"/>
      <c r="E19" s="17"/>
      <c r="F19" s="6"/>
    </row>
    <row r="20" spans="1:45" x14ac:dyDescent="0.3">
      <c r="A20" s="11" t="s">
        <v>15</v>
      </c>
      <c r="B20" s="13"/>
      <c r="C20" s="12"/>
      <c r="D20" s="13" t="str">
        <f>IF($B20="","",$B20+$C20)</f>
        <v/>
      </c>
      <c r="E20" s="18"/>
      <c r="F20" s="2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3">
      <c r="A21" s="4" t="s">
        <v>11</v>
      </c>
      <c r="B21" s="7">
        <v>45945</v>
      </c>
      <c r="C21" s="6">
        <v>6</v>
      </c>
      <c r="D21" s="7">
        <f>IF($B21="","",$B21+$C21)</f>
        <v>45951</v>
      </c>
      <c r="E21" s="17">
        <v>0.3</v>
      </c>
      <c r="F21" s="6"/>
    </row>
    <row r="22" spans="1:45" x14ac:dyDescent="0.3">
      <c r="A22" s="4" t="s">
        <v>12</v>
      </c>
      <c r="B22" s="7">
        <v>45947</v>
      </c>
      <c r="C22" s="6">
        <v>8</v>
      </c>
      <c r="D22" s="7">
        <f>IF($B22="","",$B22+$C22)</f>
        <v>45955</v>
      </c>
      <c r="E22" s="17">
        <v>0.3</v>
      </c>
      <c r="F22" s="6"/>
    </row>
    <row r="23" spans="1:45" x14ac:dyDescent="0.3">
      <c r="A23" s="4" t="s">
        <v>13</v>
      </c>
      <c r="B23" s="7">
        <v>45962</v>
      </c>
      <c r="C23" s="6">
        <v>9</v>
      </c>
      <c r="D23" s="7">
        <f>IF($B23="","",$B23+$C23)</f>
        <v>45971</v>
      </c>
      <c r="E23" s="17">
        <v>0.3</v>
      </c>
      <c r="F23" s="6"/>
    </row>
    <row r="24" spans="1:45" x14ac:dyDescent="0.3">
      <c r="D24" s="6"/>
      <c r="F24" s="6"/>
    </row>
    <row r="25" spans="1:45" x14ac:dyDescent="0.3">
      <c r="D25" s="6"/>
      <c r="F25" s="6"/>
    </row>
    <row r="26" spans="1:45" x14ac:dyDescent="0.3">
      <c r="F26" s="6"/>
    </row>
    <row r="27" spans="1:45" x14ac:dyDescent="0.3">
      <c r="F27" s="6"/>
    </row>
    <row r="28" spans="1:45" x14ac:dyDescent="0.3">
      <c r="F28" s="6"/>
    </row>
    <row r="29" spans="1:45" x14ac:dyDescent="0.3">
      <c r="F29" s="6"/>
    </row>
    <row r="30" spans="1:45" x14ac:dyDescent="0.3">
      <c r="F30" s="6"/>
    </row>
    <row r="31" spans="1:45" x14ac:dyDescent="0.3">
      <c r="F31" s="6"/>
    </row>
    <row r="32" spans="1:45" x14ac:dyDescent="0.3">
      <c r="F32" s="5"/>
    </row>
    <row r="33" spans="6:6" x14ac:dyDescent="0.3">
      <c r="F33" s="5"/>
    </row>
    <row r="34" spans="6:6" x14ac:dyDescent="0.3">
      <c r="F34" s="5"/>
    </row>
    <row r="35" spans="6:6" x14ac:dyDescent="0.3">
      <c r="F35" s="5"/>
    </row>
    <row r="36" spans="6:6" x14ac:dyDescent="0.3">
      <c r="F36" s="5"/>
    </row>
  </sheetData>
  <phoneticPr fontId="5" type="noConversion"/>
  <conditionalFormatting sqref="E9:E23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{FB3FA5DD-3695-4FCD-9729-7C20F75FAC0C}</x14:id>
        </ext>
      </extLst>
    </cfRule>
  </conditionalFormatting>
  <conditionalFormatting sqref="E9:E37">
    <cfRule type="dataBar" priority="2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{C0289371-7812-45D6-87E5-4B8203615D28}</x14:id>
        </ext>
      </extLst>
    </cfRule>
  </conditionalFormatting>
  <conditionalFormatting sqref="G1:AS75">
    <cfRule type="expression" dxfId="3" priority="7">
      <formula>G$7=$B$5</formula>
    </cfRule>
  </conditionalFormatting>
  <conditionalFormatting sqref="G9:AS75">
    <cfRule type="expression" dxfId="2" priority="3">
      <formula>IF($D9="","",AND(G$6&gt;=$D9,G$6&lt;=($D9+$F9)))</formula>
    </cfRule>
  </conditionalFormatting>
  <conditionalFormatting sqref="G9:AS83">
    <cfRule type="expression" dxfId="1" priority="1">
      <formula>IF($B9="","",AND(G$6&gt;=$B9,G$6&lt;=$B9+($C9*$E9)-1))</formula>
    </cfRule>
    <cfRule type="expression" dxfId="0" priority="6">
      <formula>IF($B9="","",AND(G$6&gt;=$B9,G$6&lt;=$D9))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3FA5DD-3695-4FCD-9729-7C20F75FAC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E9:E23</xm:sqref>
        </x14:conditionalFormatting>
        <x14:conditionalFormatting xmlns:xm="http://schemas.microsoft.com/office/excel/2006/main">
          <x14:cfRule type="dataBar" id="{C0289371-7812-45D6-87E5-4B8203615D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Gantt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Jesus</dc:creator>
  <cp:keywords/>
  <dc:description/>
  <cp:lastModifiedBy>Jose Jesus</cp:lastModifiedBy>
  <cp:revision/>
  <dcterms:created xsi:type="dcterms:W3CDTF">2025-09-25T15:08:30Z</dcterms:created>
  <dcterms:modified xsi:type="dcterms:W3CDTF">2025-09-28T11:32:50Z</dcterms:modified>
  <cp:category/>
  <cp:contentStatus/>
</cp:coreProperties>
</file>