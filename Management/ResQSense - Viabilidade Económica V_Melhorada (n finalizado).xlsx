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pt33090-my.sharepoint.com/personal/goncalovramos_ua_pt/Documents/"/>
    </mc:Choice>
  </mc:AlternateContent>
  <xr:revisionPtr revIDLastSave="79" documentId="8_{F265BA0D-F41D-46AB-8D7C-D734C41F74D5}" xr6:coauthVersionLast="47" xr6:coauthVersionMax="47" xr10:uidLastSave="{1F7FB900-2087-45E7-83F1-4C00543B0945}"/>
  <bookViews>
    <workbookView xWindow="-110" yWindow="-110" windowWidth="19420" windowHeight="11500" firstSheet="3" activeTab="3" xr2:uid="{E36C5C29-4BEC-4810-BB59-5AC853445F2C}"/>
  </bookViews>
  <sheets>
    <sheet name="1. Premissas" sheetId="1" r:id="rId1"/>
    <sheet name="2. Investimento Inicial" sheetId="2" r:id="rId2"/>
    <sheet name="3. BOM &amp; Produção" sheetId="3" r:id="rId3"/>
    <sheet name="4. Quadro Pessoal" sheetId="4" r:id="rId4"/>
    <sheet name="5. Despesas Fixas" sheetId="5" r:id="rId5"/>
    <sheet name="6. Vendas" sheetId="6" r:id="rId6"/>
    <sheet name="7. Fluxo de Caix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9" i="5" l="1"/>
  <c r="I29" i="5"/>
  <c r="J29" i="5"/>
  <c r="K29" i="5"/>
  <c r="L29" i="5"/>
  <c r="M29" i="5"/>
  <c r="N29" i="5"/>
  <c r="O29" i="5"/>
  <c r="G29" i="5"/>
  <c r="F29" i="5"/>
  <c r="D36" i="3" l="1"/>
  <c r="D35" i="3"/>
  <c r="F31" i="3"/>
  <c r="L26" i="3"/>
  <c r="H22" i="5"/>
  <c r="I22" i="5"/>
  <c r="J22" i="5"/>
  <c r="K22" i="5"/>
  <c r="L22" i="5"/>
  <c r="M22" i="5"/>
  <c r="N22" i="5"/>
  <c r="O22" i="5"/>
  <c r="G22" i="5"/>
  <c r="L16" i="5"/>
  <c r="M16" i="5"/>
  <c r="N16" i="5"/>
  <c r="O16" i="5"/>
  <c r="K16" i="5"/>
  <c r="J16" i="5"/>
  <c r="I16" i="5"/>
  <c r="G16" i="5"/>
  <c r="H16" i="5"/>
  <c r="F16" i="5"/>
  <c r="I23" i="4"/>
  <c r="J23" i="4" s="1"/>
  <c r="K23" i="4" s="1"/>
  <c r="L23" i="4" s="1"/>
  <c r="M23" i="4" s="1"/>
  <c r="N23" i="4" s="1"/>
  <c r="O23" i="4" s="1"/>
  <c r="G25" i="5"/>
  <c r="H25" i="5"/>
  <c r="I25" i="5"/>
  <c r="J25" i="5"/>
  <c r="K25" i="5"/>
  <c r="L25" i="5"/>
  <c r="M25" i="5"/>
  <c r="N25" i="5"/>
  <c r="O25" i="5"/>
  <c r="F25" i="5"/>
  <c r="I22" i="4"/>
  <c r="K22" i="4"/>
  <c r="L22" i="4"/>
  <c r="M22" i="4" s="1"/>
  <c r="N22" i="4" s="1"/>
  <c r="O22" i="4" s="1"/>
  <c r="J22" i="4"/>
  <c r="D16" i="2"/>
  <c r="G24" i="4"/>
  <c r="H24" i="4"/>
  <c r="F24" i="4"/>
  <c r="O21" i="4"/>
  <c r="I21" i="4"/>
  <c r="J21" i="4" s="1"/>
  <c r="K21" i="4" s="1"/>
  <c r="L21" i="4" s="1"/>
  <c r="M21" i="4" s="1"/>
  <c r="N21" i="4" s="1"/>
  <c r="H21" i="4"/>
  <c r="H18" i="4"/>
  <c r="I18" i="4" s="1"/>
  <c r="J18" i="4" s="1"/>
  <c r="K18" i="4" s="1"/>
  <c r="L18" i="4" s="1"/>
  <c r="M18" i="4" s="1"/>
  <c r="N18" i="4" s="1"/>
  <c r="O18" i="4" s="1"/>
  <c r="H19" i="4"/>
  <c r="I19" i="4" s="1"/>
  <c r="J19" i="4" s="1"/>
  <c r="K19" i="4" s="1"/>
  <c r="L19" i="4" s="1"/>
  <c r="M19" i="4" s="1"/>
  <c r="N19" i="4" s="1"/>
  <c r="O19" i="4" s="1"/>
  <c r="I20" i="4"/>
  <c r="J20" i="4" s="1"/>
  <c r="K20" i="4" s="1"/>
  <c r="L20" i="4" s="1"/>
  <c r="M20" i="4" s="1"/>
  <c r="N20" i="4" s="1"/>
  <c r="O20" i="4" s="1"/>
  <c r="F8" i="2"/>
  <c r="O13" i="4"/>
  <c r="N13" i="4"/>
  <c r="M13" i="4"/>
  <c r="L13" i="4"/>
  <c r="K13" i="4"/>
  <c r="J13" i="4"/>
  <c r="I13" i="4"/>
  <c r="H13" i="4"/>
  <c r="G13" i="4"/>
  <c r="F13" i="4"/>
  <c r="F15" i="2"/>
  <c r="F14" i="2"/>
  <c r="F13" i="2"/>
  <c r="F12" i="2"/>
  <c r="F11" i="2"/>
  <c r="F10" i="2"/>
  <c r="F9" i="2"/>
  <c r="F7" i="2"/>
  <c r="F16" i="2" s="1"/>
  <c r="I24" i="4" l="1"/>
  <c r="K24" i="4"/>
  <c r="J24" i="4"/>
  <c r="O24" i="4"/>
  <c r="N24" i="4"/>
  <c r="M24" i="4"/>
  <c r="L24" i="4"/>
</calcChain>
</file>

<file path=xl/sharedStrings.xml><?xml version="1.0" encoding="utf-8"?>
<sst xmlns="http://schemas.openxmlformats.org/spreadsheetml/2006/main" count="208" uniqueCount="151">
  <si>
    <t>#</t>
  </si>
  <si>
    <t>Variável</t>
  </si>
  <si>
    <t>Valor</t>
  </si>
  <si>
    <t>Observações</t>
  </si>
  <si>
    <t>Taxa IVA</t>
  </si>
  <si>
    <t>TSU Empresa</t>
  </si>
  <si>
    <t>Preço Venda Base - Pacote</t>
  </si>
  <si>
    <t>Eficiência Ano 1 (Horas por Pacote)</t>
  </si>
  <si>
    <t>Eficiência Ano 3 (Horas por Pacote)</t>
  </si>
  <si>
    <t>Investimento</t>
  </si>
  <si>
    <t>Total</t>
  </si>
  <si>
    <t>Ferramentas</t>
  </si>
  <si>
    <t>Osciloscópio</t>
  </si>
  <si>
    <t>Estação de Solda</t>
  </si>
  <si>
    <t>Equipamento Informático</t>
  </si>
  <si>
    <t>Impressora 3D</t>
  </si>
  <si>
    <t>Certificações</t>
  </si>
  <si>
    <t>Valor Orçamentado</t>
  </si>
  <si>
    <t>Software</t>
  </si>
  <si>
    <t>Fios e Cobre</t>
  </si>
  <si>
    <t>Material Para 1 Pacote</t>
  </si>
  <si>
    <t>Margem</t>
  </si>
  <si>
    <t>Quadro Pessoal</t>
  </si>
  <si>
    <t>Ano I</t>
  </si>
  <si>
    <t>Ano II</t>
  </si>
  <si>
    <t>Ano III</t>
  </si>
  <si>
    <t>Ano IV</t>
  </si>
  <si>
    <t>Ano V</t>
  </si>
  <si>
    <t>Ano VI</t>
  </si>
  <si>
    <t>Ano VII</t>
  </si>
  <si>
    <t>Ano VIII</t>
  </si>
  <si>
    <t>Ano IX</t>
  </si>
  <si>
    <t>Ano X</t>
  </si>
  <si>
    <t>CTO</t>
  </si>
  <si>
    <t>Team Leaders</t>
  </si>
  <si>
    <t>Engenheiros</t>
  </si>
  <si>
    <t>-</t>
  </si>
  <si>
    <t>Técnicos de Montagem</t>
  </si>
  <si>
    <t>Apoio Ao Cliente</t>
  </si>
  <si>
    <t>Marketing</t>
  </si>
  <si>
    <t>Remuneração Por Categoria (/mês)</t>
  </si>
  <si>
    <t>Evolução da equipa e custos fixos de ordenados.</t>
  </si>
  <si>
    <t>Taxa crescimento dos salários:</t>
  </si>
  <si>
    <t>Total de Vencimentos:</t>
  </si>
  <si>
    <t>Total Nº Colaboradores:</t>
  </si>
  <si>
    <t>Custos fixos que garantem a operação da empresa.</t>
  </si>
  <si>
    <t>4. Quadro de Pessoal</t>
  </si>
  <si>
    <t>5. Despesas Fixas</t>
  </si>
  <si>
    <t>Energia e Fluídos</t>
  </si>
  <si>
    <t>Eletricidade</t>
  </si>
  <si>
    <t>Água</t>
  </si>
  <si>
    <t>Serviços Diversos</t>
  </si>
  <si>
    <t>Seguros</t>
  </si>
  <si>
    <t>Escritório (Renda)</t>
  </si>
  <si>
    <t>Materiais</t>
  </si>
  <si>
    <t>Material de Escritório</t>
  </si>
  <si>
    <t>Deslocações</t>
  </si>
  <si>
    <t>Serviços Especializados</t>
  </si>
  <si>
    <t>Contabilidade</t>
  </si>
  <si>
    <t>Manutenção</t>
  </si>
  <si>
    <t>Fornecimentos e Serviços de Terceiros (p/ano)</t>
  </si>
  <si>
    <t>Deslocações (km*combustivel+portagens)</t>
  </si>
  <si>
    <t>Comunicações (Internet, Hosting, Tel.)</t>
  </si>
  <si>
    <t>Higiéne e Segurança no Trabalho</t>
  </si>
  <si>
    <t>Total:</t>
  </si>
  <si>
    <t>2. Investimento Inicial</t>
  </si>
  <si>
    <t>Lista de compras inicial e ativos fixos.</t>
  </si>
  <si>
    <t>TOTAL:</t>
  </si>
  <si>
    <t>1. Premissas</t>
  </si>
  <si>
    <t>Variáveis globais.</t>
  </si>
  <si>
    <t>Servidores</t>
  </si>
  <si>
    <t>(x1) Montioring Vest</t>
  </si>
  <si>
    <t>(x1) Dashboard Tablet</t>
  </si>
  <si>
    <t>Notas</t>
  </si>
  <si>
    <t>Componente</t>
  </si>
  <si>
    <t>Descrição</t>
  </si>
  <si>
    <t>Qtd.</t>
  </si>
  <si>
    <t>Preço</t>
  </si>
  <si>
    <t>Comprar só o chip e fazer a placa</t>
  </si>
  <si>
    <t>ESP32-S3 Wroom 1 N8R8</t>
  </si>
  <si>
    <t>MCU</t>
  </si>
  <si>
    <t>Raspberry PI3 Model B+</t>
  </si>
  <si>
    <t>TMP117</t>
  </si>
  <si>
    <t>Temperatura</t>
  </si>
  <si>
    <t>Poderia ser outo touchscreen</t>
  </si>
  <si>
    <t>SC0880</t>
  </si>
  <si>
    <t>Touchscreen</t>
  </si>
  <si>
    <t>Comprar só o sensor smd PPG</t>
  </si>
  <si>
    <t>SEN0344</t>
  </si>
  <si>
    <t>PPG</t>
  </si>
  <si>
    <t>BNO085</t>
  </si>
  <si>
    <t>IMU 9 eixos</t>
  </si>
  <si>
    <t>MPU6050</t>
  </si>
  <si>
    <t>IMU</t>
  </si>
  <si>
    <t>PC81.07.0100A.DB</t>
  </si>
  <si>
    <t>Antena LoRa</t>
  </si>
  <si>
    <t>DFR1103</t>
  </si>
  <si>
    <t>GNSS</t>
  </si>
  <si>
    <t>RECE.20279.001E.01</t>
  </si>
  <si>
    <t>Conector Antena</t>
  </si>
  <si>
    <t>DWM3000TR13</t>
  </si>
  <si>
    <t>UWB</t>
  </si>
  <si>
    <t>Adafruit RFM95W</t>
  </si>
  <si>
    <t>LoRa Transciever</t>
  </si>
  <si>
    <t>Speaker 8ohm</t>
  </si>
  <si>
    <t>BC547C</t>
  </si>
  <si>
    <t>BJT NPN</t>
  </si>
  <si>
    <t>BC557C</t>
  </si>
  <si>
    <t>BJT PNP</t>
  </si>
  <si>
    <t>FSR406</t>
  </si>
  <si>
    <t>"SOS Button"</t>
  </si>
  <si>
    <t>Bobine</t>
  </si>
  <si>
    <t>TLV75733PDBVR</t>
  </si>
  <si>
    <t>LDO Regulator</t>
  </si>
  <si>
    <t>LiFePo4 7,4v 10Ah</t>
  </si>
  <si>
    <t>Bateria</t>
  </si>
  <si>
    <t>TPS2113APWR</t>
  </si>
  <si>
    <t>Power Mux</t>
  </si>
  <si>
    <t>BMS</t>
  </si>
  <si>
    <t>p/ carregar bateria</t>
  </si>
  <si>
    <t>MF52A2103J3470</t>
  </si>
  <si>
    <t>Thermístor NTC</t>
  </si>
  <si>
    <t>Filamentos</t>
  </si>
  <si>
    <t>p/  Impressão 3D</t>
  </si>
  <si>
    <t>Comprar outro para uma LiFePo4</t>
  </si>
  <si>
    <t>Adafruit MAX17048</t>
  </si>
  <si>
    <t>Fuel Gauge</t>
  </si>
  <si>
    <t>Valor Aproximado</t>
  </si>
  <si>
    <t>Extra Resistors</t>
  </si>
  <si>
    <t>Valor Aprox</t>
  </si>
  <si>
    <t>LiFePo4 3,7v 1Ah</t>
  </si>
  <si>
    <t>Bateria Principal</t>
  </si>
  <si>
    <t>Extra Capacitors</t>
  </si>
  <si>
    <t>Outra bateria sem ser de lítio</t>
  </si>
  <si>
    <t>2CR5</t>
  </si>
  <si>
    <t>Bateria Backup</t>
  </si>
  <si>
    <t>1 design (5 placas) = 5,00</t>
  </si>
  <si>
    <t>PCB Manufacturing</t>
  </si>
  <si>
    <t>VN2222</t>
  </si>
  <si>
    <t>MOSFETs</t>
  </si>
  <si>
    <t>Portes de Envio</t>
  </si>
  <si>
    <t>Tecido</t>
  </si>
  <si>
    <t>3. Bill Of Materials &amp; Produção</t>
  </si>
  <si>
    <t>Cálculo do custo variável por pacote vendido.</t>
  </si>
  <si>
    <t>Custo Atual</t>
  </si>
  <si>
    <t>Total Eletrónica (5v + 1t):</t>
  </si>
  <si>
    <t>Custo da eletrónica ao fim de 3anos</t>
  </si>
  <si>
    <t>Ao fim de 3 anos</t>
  </si>
  <si>
    <t>Packaging</t>
  </si>
  <si>
    <t>Logística &amp; Transporte</t>
  </si>
  <si>
    <t>Custo de Mão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</si>
</sst>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9" fontId="0" fillId="0" borderId="0" xfId="2" applyFont="1"/>
    <xf numFmtId="44" fontId="0" fillId="0" borderId="0" xfId="1" applyFont="1"/>
    <xf numFmtId="44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9" fontId="0" fillId="0" borderId="0" xfId="2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9" fontId="0" fillId="0" borderId="0" xfId="2" applyFont="1" applyAlignment="1">
      <alignment horizontal="left"/>
    </xf>
    <xf numFmtId="44" fontId="0" fillId="0" borderId="0" xfId="1" applyFon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/>
    <xf numFmtId="0" fontId="4" fillId="0" borderId="0" xfId="0" applyFont="1"/>
    <xf numFmtId="9" fontId="0" fillId="0" borderId="1" xfId="0" applyNumberFormat="1" applyBorder="1" applyAlignment="1">
      <alignment horizontal="left"/>
    </xf>
    <xf numFmtId="44" fontId="0" fillId="0" borderId="1" xfId="1" applyFont="1" applyBorder="1"/>
    <xf numFmtId="0" fontId="0" fillId="0" borderId="2" xfId="0" applyBorder="1"/>
    <xf numFmtId="44" fontId="0" fillId="0" borderId="2" xfId="1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44" fontId="0" fillId="0" borderId="0" xfId="1" applyFont="1" applyBorder="1"/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0" xfId="0" applyFont="1" applyAlignment="1">
      <alignment horizontal="center"/>
    </xf>
    <xf numFmtId="44" fontId="0" fillId="0" borderId="1" xfId="0" applyNumberFormat="1" applyBorder="1"/>
  </cellXfs>
  <cellStyles count="3">
    <cellStyle name="Moeda" xfId="1" builtinId="4"/>
    <cellStyle name="Normal" xfId="0" builtinId="0"/>
    <cellStyle name="Pe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9B17-AF28-4C80-A756-A42A5F6A897E}">
  <dimension ref="B2:E13"/>
  <sheetViews>
    <sheetView zoomScale="115" zoomScaleNormal="160" workbookViewId="0">
      <selection activeCell="D9" sqref="D9"/>
    </sheetView>
  </sheetViews>
  <sheetFormatPr defaultRowHeight="14.5" x14ac:dyDescent="0.35"/>
  <cols>
    <col min="2" max="2" width="5.81640625" customWidth="1"/>
    <col min="3" max="3" width="29.36328125" customWidth="1"/>
    <col min="4" max="4" width="12.26953125" customWidth="1"/>
    <col min="5" max="5" width="19.90625" customWidth="1"/>
  </cols>
  <sheetData>
    <row r="2" spans="2:5" ht="23.5" x14ac:dyDescent="0.55000000000000004">
      <c r="B2" s="32" t="s">
        <v>68</v>
      </c>
      <c r="C2" s="32"/>
      <c r="D2" s="24"/>
      <c r="E2" s="2"/>
    </row>
    <row r="3" spans="2:5" ht="18.5" x14ac:dyDescent="0.45">
      <c r="B3" s="31" t="s">
        <v>69</v>
      </c>
      <c r="C3" s="31"/>
      <c r="D3" s="16"/>
    </row>
    <row r="4" spans="2:5" x14ac:dyDescent="0.35">
      <c r="B4" s="1"/>
      <c r="D4" s="12"/>
    </row>
    <row r="5" spans="2:5" x14ac:dyDescent="0.35">
      <c r="B5" s="1"/>
      <c r="D5" s="13"/>
    </row>
    <row r="6" spans="2:5" x14ac:dyDescent="0.35">
      <c r="B6" s="2" t="s">
        <v>0</v>
      </c>
      <c r="C6" s="2" t="s">
        <v>1</v>
      </c>
      <c r="D6" s="11" t="s">
        <v>2</v>
      </c>
      <c r="E6" s="2" t="s">
        <v>3</v>
      </c>
    </row>
    <row r="7" spans="2:5" x14ac:dyDescent="0.35">
      <c r="B7" s="1">
        <v>1</v>
      </c>
      <c r="C7" t="s">
        <v>4</v>
      </c>
      <c r="D7" s="12">
        <v>0.23</v>
      </c>
    </row>
    <row r="8" spans="2:5" x14ac:dyDescent="0.35">
      <c r="B8" s="1">
        <v>2</v>
      </c>
      <c r="C8" t="s">
        <v>5</v>
      </c>
      <c r="D8" s="12">
        <v>0.23749999999999999</v>
      </c>
    </row>
    <row r="9" spans="2:5" x14ac:dyDescent="0.35">
      <c r="B9" s="1">
        <v>3</v>
      </c>
      <c r="C9" t="s">
        <v>6</v>
      </c>
      <c r="D9" s="13">
        <v>7500</v>
      </c>
    </row>
    <row r="10" spans="2:5" x14ac:dyDescent="0.35">
      <c r="B10" s="1">
        <v>4</v>
      </c>
      <c r="C10" t="s">
        <v>7</v>
      </c>
      <c r="D10" s="14">
        <v>120</v>
      </c>
    </row>
    <row r="11" spans="2:5" x14ac:dyDescent="0.35">
      <c r="B11" s="1">
        <v>5</v>
      </c>
      <c r="C11" t="s">
        <v>8</v>
      </c>
      <c r="D11" s="14">
        <v>40</v>
      </c>
    </row>
    <row r="12" spans="2:5" x14ac:dyDescent="0.35">
      <c r="B12" s="1">
        <v>6</v>
      </c>
      <c r="C12" t="s">
        <v>21</v>
      </c>
      <c r="D12" s="12">
        <v>0.4</v>
      </c>
    </row>
    <row r="13" spans="2:5" x14ac:dyDescent="0.35">
      <c r="B13" s="1">
        <v>7</v>
      </c>
      <c r="C13" t="s">
        <v>146</v>
      </c>
      <c r="D13" s="15">
        <v>-0.1</v>
      </c>
    </row>
  </sheetData>
  <mergeCells count="2">
    <mergeCell ref="B2:C2"/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3C19-E1B7-4A3D-82EF-86214737F496}">
  <dimension ref="B2:H16"/>
  <sheetViews>
    <sheetView zoomScale="85" zoomScaleNormal="160" workbookViewId="0">
      <selection activeCell="E19" sqref="E19"/>
    </sheetView>
  </sheetViews>
  <sheetFormatPr defaultRowHeight="14.5" x14ac:dyDescent="0.35"/>
  <cols>
    <col min="2" max="2" width="6.54296875" customWidth="1"/>
    <col min="3" max="3" width="24.54296875" customWidth="1"/>
    <col min="4" max="4" width="18.08984375" customWidth="1"/>
    <col min="6" max="6" width="12.1796875" customWidth="1"/>
  </cols>
  <sheetData>
    <row r="2" spans="2:8" ht="23.5" x14ac:dyDescent="0.55000000000000004">
      <c r="B2" s="34" t="s">
        <v>65</v>
      </c>
      <c r="C2" s="34"/>
      <c r="D2" s="24"/>
      <c r="E2" s="24"/>
    </row>
    <row r="3" spans="2:8" ht="18.5" x14ac:dyDescent="0.45">
      <c r="B3" s="31" t="s">
        <v>66</v>
      </c>
      <c r="C3" s="31"/>
      <c r="D3" s="31"/>
      <c r="E3" s="16"/>
      <c r="F3" s="16"/>
      <c r="G3" s="16"/>
      <c r="H3" s="16"/>
    </row>
    <row r="6" spans="2:8" x14ac:dyDescent="0.35">
      <c r="B6" s="10" t="s">
        <v>0</v>
      </c>
      <c r="C6" s="2" t="s">
        <v>9</v>
      </c>
      <c r="D6" s="2" t="s">
        <v>17</v>
      </c>
      <c r="E6" s="2" t="s">
        <v>4</v>
      </c>
      <c r="F6" s="2" t="s">
        <v>10</v>
      </c>
    </row>
    <row r="7" spans="2:8" x14ac:dyDescent="0.35">
      <c r="B7" s="8">
        <v>1</v>
      </c>
      <c r="C7" t="s">
        <v>14</v>
      </c>
      <c r="D7" s="5">
        <v>3500</v>
      </c>
      <c r="E7" s="4">
        <v>0.23</v>
      </c>
      <c r="F7" s="6">
        <f>SUM(D7,PRODUCT(D7:E7))</f>
        <v>4305</v>
      </c>
    </row>
    <row r="8" spans="2:8" x14ac:dyDescent="0.35">
      <c r="B8" s="8">
        <v>2</v>
      </c>
      <c r="C8" t="s">
        <v>18</v>
      </c>
      <c r="D8" s="5">
        <v>1500</v>
      </c>
      <c r="E8" s="4">
        <v>0</v>
      </c>
      <c r="F8" s="6">
        <f>SUM(D8,PRODUCT(D8:E8))</f>
        <v>1500</v>
      </c>
    </row>
    <row r="9" spans="2:8" x14ac:dyDescent="0.35">
      <c r="B9" s="8">
        <v>3</v>
      </c>
      <c r="C9" t="s">
        <v>15</v>
      </c>
      <c r="D9" s="5">
        <v>1500</v>
      </c>
      <c r="E9" s="4">
        <v>0.23</v>
      </c>
      <c r="F9" s="6">
        <f t="shared" ref="F9:F15" si="0">SUM(D9,PRODUCT(D9:E9))</f>
        <v>1845</v>
      </c>
    </row>
    <row r="10" spans="2:8" x14ac:dyDescent="0.35">
      <c r="B10" s="8">
        <v>4</v>
      </c>
      <c r="C10" t="s">
        <v>11</v>
      </c>
      <c r="D10" s="5">
        <v>600</v>
      </c>
      <c r="E10" s="4">
        <v>0.23</v>
      </c>
      <c r="F10" s="6">
        <f t="shared" si="0"/>
        <v>738</v>
      </c>
    </row>
    <row r="11" spans="2:8" x14ac:dyDescent="0.35">
      <c r="B11" s="8">
        <v>5</v>
      </c>
      <c r="C11" t="s">
        <v>12</v>
      </c>
      <c r="D11" s="5">
        <v>1200</v>
      </c>
      <c r="E11" s="4">
        <v>0.23</v>
      </c>
      <c r="F11" s="6">
        <f t="shared" si="0"/>
        <v>1476</v>
      </c>
    </row>
    <row r="12" spans="2:8" x14ac:dyDescent="0.35">
      <c r="B12" s="8">
        <v>6</v>
      </c>
      <c r="C12" t="s">
        <v>13</v>
      </c>
      <c r="D12" s="5">
        <v>450</v>
      </c>
      <c r="E12" s="4">
        <v>0.23</v>
      </c>
      <c r="F12" s="6">
        <f t="shared" si="0"/>
        <v>553.5</v>
      </c>
    </row>
    <row r="13" spans="2:8" x14ac:dyDescent="0.35">
      <c r="B13" s="8">
        <v>7</v>
      </c>
      <c r="C13" t="s">
        <v>16</v>
      </c>
      <c r="D13" s="5">
        <v>5000</v>
      </c>
      <c r="E13" s="4">
        <v>0</v>
      </c>
      <c r="F13" s="6">
        <f t="shared" si="0"/>
        <v>5000</v>
      </c>
    </row>
    <row r="14" spans="2:8" x14ac:dyDescent="0.35">
      <c r="B14" s="8">
        <v>8</v>
      </c>
      <c r="C14" t="s">
        <v>19</v>
      </c>
      <c r="E14" s="9">
        <v>0</v>
      </c>
      <c r="F14" s="6">
        <f t="shared" si="0"/>
        <v>0</v>
      </c>
    </row>
    <row r="15" spans="2:8" x14ac:dyDescent="0.35">
      <c r="B15" s="8">
        <v>9</v>
      </c>
      <c r="C15" t="s">
        <v>20</v>
      </c>
      <c r="E15" s="9">
        <v>0</v>
      </c>
      <c r="F15" s="6">
        <f t="shared" si="0"/>
        <v>0</v>
      </c>
    </row>
    <row r="16" spans="2:8" x14ac:dyDescent="0.35">
      <c r="B16" s="33" t="s">
        <v>67</v>
      </c>
      <c r="C16" s="33"/>
      <c r="D16" s="6">
        <f>SUM(D7:D15)</f>
        <v>13750</v>
      </c>
      <c r="F16" s="6">
        <f>SUM(F7:F15)</f>
        <v>15417.5</v>
      </c>
    </row>
  </sheetData>
  <mergeCells count="3">
    <mergeCell ref="B16:C16"/>
    <mergeCell ref="B3:D3"/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C004-3C6D-4344-84E3-51BB3D9A03AA}">
  <dimension ref="B2:L39"/>
  <sheetViews>
    <sheetView topLeftCell="A13" zoomScale="80" workbookViewId="0">
      <selection activeCell="D39" sqref="D39"/>
    </sheetView>
  </sheetViews>
  <sheetFormatPr defaultRowHeight="14.5" x14ac:dyDescent="0.35"/>
  <cols>
    <col min="2" max="2" width="30.1796875" customWidth="1"/>
    <col min="3" max="3" width="22.36328125" customWidth="1"/>
    <col min="4" max="4" width="16.08984375" customWidth="1"/>
    <col min="8" max="8" width="25.6328125" customWidth="1"/>
    <col min="9" max="9" width="21.54296875" customWidth="1"/>
    <col min="10" max="10" width="18" customWidth="1"/>
  </cols>
  <sheetData>
    <row r="2" spans="2:12" ht="23.5" x14ac:dyDescent="0.55000000000000004">
      <c r="B2" s="32" t="s">
        <v>142</v>
      </c>
      <c r="C2" s="32"/>
    </row>
    <row r="3" spans="2:12" ht="18.5" x14ac:dyDescent="0.45">
      <c r="B3" s="31" t="s">
        <v>143</v>
      </c>
      <c r="C3" s="31"/>
    </row>
    <row r="6" spans="2:12" ht="18.5" x14ac:dyDescent="0.45">
      <c r="B6" s="29" t="s">
        <v>144</v>
      </c>
      <c r="C6" s="29"/>
      <c r="D6" s="29"/>
      <c r="E6" s="29"/>
      <c r="F6" s="29"/>
      <c r="G6" s="29"/>
      <c r="H6" s="29"/>
      <c r="I6" s="29"/>
      <c r="J6" s="29"/>
      <c r="K6" s="29"/>
      <c r="L6" s="29"/>
    </row>
    <row r="7" spans="2:12" ht="18.5" x14ac:dyDescent="0.45">
      <c r="B7" s="29" t="s">
        <v>71</v>
      </c>
      <c r="C7" s="29"/>
      <c r="D7" s="29"/>
      <c r="E7" s="29"/>
      <c r="F7" s="29"/>
      <c r="H7" s="29" t="s">
        <v>72</v>
      </c>
      <c r="I7" s="29"/>
      <c r="J7" s="29"/>
      <c r="K7" s="29"/>
      <c r="L7" s="29"/>
    </row>
    <row r="8" spans="2:12" ht="15" thickBot="1" x14ac:dyDescent="0.4">
      <c r="B8" s="22" t="s">
        <v>73</v>
      </c>
      <c r="C8" s="22" t="s">
        <v>74</v>
      </c>
      <c r="D8" s="22" t="s">
        <v>75</v>
      </c>
      <c r="E8" s="22" t="s">
        <v>76</v>
      </c>
      <c r="F8" s="22" t="s">
        <v>77</v>
      </c>
      <c r="H8" s="22" t="s">
        <v>73</v>
      </c>
      <c r="I8" s="22" t="s">
        <v>74</v>
      </c>
      <c r="J8" s="22" t="s">
        <v>75</v>
      </c>
      <c r="K8" s="22" t="s">
        <v>76</v>
      </c>
      <c r="L8" s="22" t="s">
        <v>77</v>
      </c>
    </row>
    <row r="9" spans="2:12" x14ac:dyDescent="0.35">
      <c r="B9" t="s">
        <v>78</v>
      </c>
      <c r="C9" t="s">
        <v>79</v>
      </c>
      <c r="D9" s="1" t="s">
        <v>80</v>
      </c>
      <c r="E9" s="1">
        <v>1</v>
      </c>
      <c r="F9" s="26">
        <v>11.9</v>
      </c>
      <c r="I9" t="s">
        <v>81</v>
      </c>
      <c r="J9" s="1" t="s">
        <v>80</v>
      </c>
      <c r="K9" s="1">
        <v>1</v>
      </c>
      <c r="L9" s="26">
        <v>39.86</v>
      </c>
    </row>
    <row r="10" spans="2:12" x14ac:dyDescent="0.35">
      <c r="C10" t="s">
        <v>82</v>
      </c>
      <c r="D10" s="1" t="s">
        <v>83</v>
      </c>
      <c r="E10" s="1">
        <v>3</v>
      </c>
      <c r="F10" s="26">
        <v>9.86</v>
      </c>
      <c r="H10" t="s">
        <v>84</v>
      </c>
      <c r="I10" t="s">
        <v>85</v>
      </c>
      <c r="J10" s="1" t="s">
        <v>86</v>
      </c>
      <c r="K10" s="1">
        <v>1</v>
      </c>
      <c r="L10" s="26">
        <v>66.900000000000006</v>
      </c>
    </row>
    <row r="11" spans="2:12" x14ac:dyDescent="0.35">
      <c r="B11" t="s">
        <v>87</v>
      </c>
      <c r="C11" t="s">
        <v>88</v>
      </c>
      <c r="D11" s="1" t="s">
        <v>89</v>
      </c>
      <c r="E11" s="1">
        <v>1</v>
      </c>
      <c r="F11" s="26">
        <v>13.58</v>
      </c>
      <c r="I11" t="s">
        <v>90</v>
      </c>
      <c r="J11" s="1" t="s">
        <v>91</v>
      </c>
      <c r="K11" s="1">
        <v>1</v>
      </c>
      <c r="L11" s="26">
        <v>24.95</v>
      </c>
    </row>
    <row r="12" spans="2:12" x14ac:dyDescent="0.35">
      <c r="C12" t="s">
        <v>92</v>
      </c>
      <c r="D12" s="1" t="s">
        <v>93</v>
      </c>
      <c r="E12" s="1">
        <v>1</v>
      </c>
      <c r="F12" s="26">
        <v>8.6999999999999993</v>
      </c>
      <c r="I12" t="s">
        <v>94</v>
      </c>
      <c r="J12" s="1" t="s">
        <v>95</v>
      </c>
      <c r="K12" s="1">
        <v>1</v>
      </c>
      <c r="L12" s="26">
        <v>6.67</v>
      </c>
    </row>
    <row r="13" spans="2:12" x14ac:dyDescent="0.35">
      <c r="C13" t="s">
        <v>96</v>
      </c>
      <c r="D13" s="1" t="s">
        <v>97</v>
      </c>
      <c r="E13" s="1">
        <v>1</v>
      </c>
      <c r="F13" s="26">
        <v>22.11</v>
      </c>
      <c r="I13" t="s">
        <v>98</v>
      </c>
      <c r="J13" s="1" t="s">
        <v>99</v>
      </c>
      <c r="K13" s="1">
        <v>1</v>
      </c>
      <c r="L13" s="26">
        <v>1.05</v>
      </c>
    </row>
    <row r="14" spans="2:12" x14ac:dyDescent="0.35">
      <c r="C14" t="s">
        <v>100</v>
      </c>
      <c r="D14" s="1" t="s">
        <v>101</v>
      </c>
      <c r="E14" s="1">
        <v>1</v>
      </c>
      <c r="F14" s="26">
        <v>23.11</v>
      </c>
      <c r="I14" t="s">
        <v>102</v>
      </c>
      <c r="J14" s="1" t="s">
        <v>103</v>
      </c>
      <c r="K14" s="1">
        <v>1</v>
      </c>
      <c r="L14" s="26">
        <v>19.95</v>
      </c>
    </row>
    <row r="15" spans="2:12" x14ac:dyDescent="0.35">
      <c r="C15" t="s">
        <v>94</v>
      </c>
      <c r="D15" s="1" t="s">
        <v>95</v>
      </c>
      <c r="E15" s="1">
        <v>1</v>
      </c>
      <c r="F15" s="26">
        <v>6.67</v>
      </c>
      <c r="I15" t="s">
        <v>104</v>
      </c>
      <c r="J15" s="1" t="s">
        <v>36</v>
      </c>
      <c r="K15" s="1">
        <v>1</v>
      </c>
      <c r="L15" s="26">
        <v>8.5</v>
      </c>
    </row>
    <row r="16" spans="2:12" x14ac:dyDescent="0.35">
      <c r="C16" t="s">
        <v>98</v>
      </c>
      <c r="D16" s="1" t="s">
        <v>99</v>
      </c>
      <c r="E16" s="1">
        <v>1</v>
      </c>
      <c r="F16" s="26">
        <v>1.05</v>
      </c>
      <c r="I16" t="s">
        <v>105</v>
      </c>
      <c r="J16" s="1" t="s">
        <v>106</v>
      </c>
      <c r="K16" s="1">
        <v>1</v>
      </c>
      <c r="L16" s="26">
        <v>0.05</v>
      </c>
    </row>
    <row r="17" spans="2:12" x14ac:dyDescent="0.35">
      <c r="C17" t="s">
        <v>102</v>
      </c>
      <c r="D17" s="1" t="s">
        <v>103</v>
      </c>
      <c r="E17" s="1">
        <v>1</v>
      </c>
      <c r="F17" s="26">
        <v>19.95</v>
      </c>
      <c r="I17" t="s">
        <v>107</v>
      </c>
      <c r="J17" s="1" t="s">
        <v>108</v>
      </c>
      <c r="K17" s="1">
        <v>1</v>
      </c>
      <c r="L17" s="26">
        <v>0.05</v>
      </c>
    </row>
    <row r="18" spans="2:12" x14ac:dyDescent="0.35">
      <c r="C18" t="s">
        <v>109</v>
      </c>
      <c r="D18" s="1" t="s">
        <v>110</v>
      </c>
      <c r="E18" s="1">
        <v>1</v>
      </c>
      <c r="F18" s="26">
        <v>12.4</v>
      </c>
      <c r="I18" t="s">
        <v>111</v>
      </c>
      <c r="J18" s="1" t="s">
        <v>111</v>
      </c>
      <c r="K18" s="1">
        <v>1</v>
      </c>
      <c r="L18" s="26">
        <v>1.5</v>
      </c>
    </row>
    <row r="19" spans="2:12" x14ac:dyDescent="0.35">
      <c r="C19" t="s">
        <v>112</v>
      </c>
      <c r="D19" s="1" t="s">
        <v>113</v>
      </c>
      <c r="E19" s="1">
        <v>1</v>
      </c>
      <c r="F19" s="26">
        <v>0.33</v>
      </c>
      <c r="I19" t="s">
        <v>114</v>
      </c>
      <c r="J19" s="1" t="s">
        <v>115</v>
      </c>
      <c r="K19" s="1">
        <v>1</v>
      </c>
      <c r="L19" s="26">
        <v>35</v>
      </c>
    </row>
    <row r="20" spans="2:12" x14ac:dyDescent="0.35">
      <c r="C20" t="s">
        <v>116</v>
      </c>
      <c r="D20" s="1" t="s">
        <v>117</v>
      </c>
      <c r="E20" s="1">
        <v>1</v>
      </c>
      <c r="F20" s="26">
        <v>2.64</v>
      </c>
      <c r="I20" t="s">
        <v>118</v>
      </c>
      <c r="J20" s="1" t="s">
        <v>119</v>
      </c>
      <c r="K20" s="1">
        <v>1</v>
      </c>
      <c r="L20" s="26">
        <v>10</v>
      </c>
    </row>
    <row r="21" spans="2:12" x14ac:dyDescent="0.35">
      <c r="C21" t="s">
        <v>120</v>
      </c>
      <c r="D21" s="1" t="s">
        <v>121</v>
      </c>
      <c r="E21" s="1">
        <v>1</v>
      </c>
      <c r="F21" s="26">
        <v>0.32</v>
      </c>
      <c r="I21" t="s">
        <v>122</v>
      </c>
      <c r="J21" s="1" t="s">
        <v>123</v>
      </c>
      <c r="K21" s="1">
        <v>1</v>
      </c>
      <c r="L21" s="26">
        <v>15</v>
      </c>
    </row>
    <row r="22" spans="2:12" x14ac:dyDescent="0.35">
      <c r="B22" t="s">
        <v>124</v>
      </c>
      <c r="C22" t="s">
        <v>125</v>
      </c>
      <c r="D22" s="1" t="s">
        <v>126</v>
      </c>
      <c r="E22" s="1">
        <v>1</v>
      </c>
      <c r="F22" s="26">
        <v>5.95</v>
      </c>
      <c r="H22" t="s">
        <v>127</v>
      </c>
      <c r="I22" t="s">
        <v>128</v>
      </c>
      <c r="J22" s="1" t="s">
        <v>36</v>
      </c>
      <c r="K22" s="1">
        <v>1</v>
      </c>
      <c r="L22" s="26">
        <v>5</v>
      </c>
    </row>
    <row r="23" spans="2:12" x14ac:dyDescent="0.35">
      <c r="B23" t="s">
        <v>129</v>
      </c>
      <c r="C23" t="s">
        <v>130</v>
      </c>
      <c r="D23" s="1" t="s">
        <v>131</v>
      </c>
      <c r="E23" s="1">
        <v>1</v>
      </c>
      <c r="F23" s="26">
        <v>10</v>
      </c>
      <c r="H23" t="s">
        <v>127</v>
      </c>
      <c r="I23" t="s">
        <v>132</v>
      </c>
      <c r="J23" s="1" t="s">
        <v>36</v>
      </c>
      <c r="K23" s="1">
        <v>1</v>
      </c>
      <c r="L23" s="26">
        <v>8</v>
      </c>
    </row>
    <row r="24" spans="2:12" x14ac:dyDescent="0.35">
      <c r="B24" t="s">
        <v>133</v>
      </c>
      <c r="C24" t="s">
        <v>134</v>
      </c>
      <c r="D24" s="1" t="s">
        <v>135</v>
      </c>
      <c r="E24" s="1">
        <v>1</v>
      </c>
      <c r="F24" s="26">
        <v>6.4</v>
      </c>
      <c r="H24" t="s">
        <v>136</v>
      </c>
      <c r="I24" t="s">
        <v>137</v>
      </c>
      <c r="J24" s="1" t="s">
        <v>36</v>
      </c>
      <c r="K24" s="1">
        <v>1</v>
      </c>
      <c r="L24" s="26">
        <v>5</v>
      </c>
    </row>
    <row r="25" spans="2:12" ht="15" thickBot="1" x14ac:dyDescent="0.4">
      <c r="C25" t="s">
        <v>138</v>
      </c>
      <c r="D25" s="1" t="s">
        <v>139</v>
      </c>
      <c r="E25" s="1">
        <v>2</v>
      </c>
      <c r="F25" s="26">
        <v>0.68</v>
      </c>
      <c r="H25" s="7"/>
      <c r="I25" s="7" t="s">
        <v>140</v>
      </c>
      <c r="J25" s="21" t="s">
        <v>36</v>
      </c>
      <c r="K25" s="21">
        <v>1</v>
      </c>
      <c r="L25" s="27">
        <v>20</v>
      </c>
    </row>
    <row r="26" spans="2:12" ht="15" thickBot="1" x14ac:dyDescent="0.4">
      <c r="B26" t="s">
        <v>127</v>
      </c>
      <c r="C26" t="s">
        <v>128</v>
      </c>
      <c r="D26" s="1" t="s">
        <v>36</v>
      </c>
      <c r="E26" s="1">
        <v>1</v>
      </c>
      <c r="F26" s="26">
        <v>5</v>
      </c>
      <c r="H26" s="30" t="s">
        <v>67</v>
      </c>
      <c r="I26" s="30"/>
      <c r="J26" s="30"/>
      <c r="K26" s="30"/>
      <c r="L26" s="28">
        <f>SUM(L9:L25)</f>
        <v>267.48</v>
      </c>
    </row>
    <row r="27" spans="2:12" x14ac:dyDescent="0.35">
      <c r="B27" t="s">
        <v>127</v>
      </c>
      <c r="C27" t="s">
        <v>132</v>
      </c>
      <c r="D27" s="1" t="s">
        <v>36</v>
      </c>
      <c r="E27" s="1">
        <v>1</v>
      </c>
      <c r="F27" s="26">
        <v>8</v>
      </c>
    </row>
    <row r="28" spans="2:12" x14ac:dyDescent="0.35">
      <c r="B28" t="s">
        <v>136</v>
      </c>
      <c r="C28" t="s">
        <v>137</v>
      </c>
      <c r="D28" s="1" t="s">
        <v>36</v>
      </c>
      <c r="E28" s="1">
        <v>5</v>
      </c>
      <c r="F28" s="26">
        <v>5</v>
      </c>
    </row>
    <row r="29" spans="2:12" x14ac:dyDescent="0.35">
      <c r="C29" t="s">
        <v>140</v>
      </c>
      <c r="D29" s="1" t="s">
        <v>36</v>
      </c>
      <c r="E29" s="1">
        <v>1</v>
      </c>
      <c r="F29" s="26">
        <v>20</v>
      </c>
    </row>
    <row r="30" spans="2:12" ht="15" thickBot="1" x14ac:dyDescent="0.4">
      <c r="B30" s="7"/>
      <c r="C30" s="7" t="s">
        <v>141</v>
      </c>
      <c r="D30" s="21" t="s">
        <v>36</v>
      </c>
      <c r="E30" s="21">
        <v>1</v>
      </c>
      <c r="F30" s="27">
        <v>50</v>
      </c>
    </row>
    <row r="31" spans="2:12" ht="15" thickBot="1" x14ac:dyDescent="0.4">
      <c r="B31" s="30" t="s">
        <v>67</v>
      </c>
      <c r="C31" s="30"/>
      <c r="D31" s="30"/>
      <c r="E31" s="30"/>
      <c r="F31" s="28">
        <f>SUMPRODUCT(E9:E30,F9:F30)</f>
        <v>284.04999999999995</v>
      </c>
    </row>
    <row r="35" spans="2:4" x14ac:dyDescent="0.35">
      <c r="B35">
        <v>1</v>
      </c>
      <c r="C35" t="s">
        <v>145</v>
      </c>
      <c r="D35" s="5">
        <f>5*F31+L26</f>
        <v>1687.7299999999998</v>
      </c>
    </row>
    <row r="36" spans="2:4" x14ac:dyDescent="0.35">
      <c r="B36">
        <v>2</v>
      </c>
      <c r="C36" t="s">
        <v>147</v>
      </c>
      <c r="D36" s="5">
        <f>D35+D35*'1. Premissas'!D13</f>
        <v>1518.9569999999999</v>
      </c>
    </row>
    <row r="37" spans="2:4" x14ac:dyDescent="0.35">
      <c r="B37">
        <v>3</v>
      </c>
      <c r="C37" t="s">
        <v>148</v>
      </c>
      <c r="D37" s="5">
        <v>150</v>
      </c>
    </row>
    <row r="38" spans="2:4" x14ac:dyDescent="0.35">
      <c r="B38">
        <v>4</v>
      </c>
      <c r="C38" t="s">
        <v>149</v>
      </c>
      <c r="D38" s="5">
        <v>50</v>
      </c>
    </row>
    <row r="39" spans="2:4" x14ac:dyDescent="0.35">
      <c r="B39">
        <v>5</v>
      </c>
      <c r="C39" t="s">
        <v>150</v>
      </c>
      <c r="D39" s="5"/>
    </row>
  </sheetData>
  <mergeCells count="7">
    <mergeCell ref="B2:C2"/>
    <mergeCell ref="B6:L6"/>
    <mergeCell ref="B7:F7"/>
    <mergeCell ref="H7:L7"/>
    <mergeCell ref="H26:K26"/>
    <mergeCell ref="B31:E31"/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37F4-8884-4093-BB8E-92376CBD48BA}">
  <dimension ref="B2:O25"/>
  <sheetViews>
    <sheetView tabSelected="1" zoomScale="101" zoomScaleNormal="145" workbookViewId="0">
      <selection activeCell="B3" sqref="B3:H3"/>
    </sheetView>
  </sheetViews>
  <sheetFormatPr defaultRowHeight="14.5" x14ac:dyDescent="0.35"/>
  <cols>
    <col min="6" max="7" width="10.6328125" customWidth="1"/>
    <col min="8" max="8" width="11.453125" customWidth="1"/>
    <col min="9" max="9" width="11.36328125" customWidth="1"/>
    <col min="10" max="10" width="11.6328125" customWidth="1"/>
    <col min="11" max="11" width="12.1796875" customWidth="1"/>
    <col min="12" max="12" width="12.7265625" customWidth="1"/>
    <col min="13" max="13" width="11.36328125" customWidth="1"/>
    <col min="14" max="14" width="11.7265625" customWidth="1"/>
    <col min="15" max="15" width="12" customWidth="1"/>
  </cols>
  <sheetData>
    <row r="2" spans="2:15" ht="23.5" x14ac:dyDescent="0.55000000000000004">
      <c r="B2" s="32" t="s">
        <v>46</v>
      </c>
      <c r="C2" s="32"/>
      <c r="D2" s="32"/>
      <c r="E2" s="32"/>
    </row>
    <row r="3" spans="2:15" ht="18.5" customHeight="1" x14ac:dyDescent="0.45">
      <c r="B3" s="31" t="s">
        <v>41</v>
      </c>
      <c r="C3" s="31"/>
      <c r="D3" s="31"/>
      <c r="E3" s="31"/>
      <c r="F3" s="31"/>
      <c r="G3" s="31"/>
      <c r="H3" s="31"/>
    </row>
    <row r="6" spans="2:15" ht="15" thickBot="1" x14ac:dyDescent="0.4">
      <c r="B6" s="38" t="s">
        <v>22</v>
      </c>
      <c r="C6" s="38"/>
      <c r="D6" s="38"/>
      <c r="E6" s="23"/>
      <c r="F6" s="22" t="s">
        <v>23</v>
      </c>
      <c r="G6" s="22" t="s">
        <v>24</v>
      </c>
      <c r="H6" s="22" t="s">
        <v>25</v>
      </c>
      <c r="I6" s="22" t="s">
        <v>26</v>
      </c>
      <c r="J6" s="22" t="s">
        <v>27</v>
      </c>
      <c r="K6" s="22" t="s">
        <v>28</v>
      </c>
      <c r="L6" s="22" t="s">
        <v>29</v>
      </c>
      <c r="M6" s="22" t="s">
        <v>30</v>
      </c>
      <c r="N6" s="22" t="s">
        <v>31</v>
      </c>
      <c r="O6" s="22" t="s">
        <v>32</v>
      </c>
    </row>
    <row r="7" spans="2:15" x14ac:dyDescent="0.35">
      <c r="B7" s="36" t="s">
        <v>33</v>
      </c>
      <c r="C7" s="36"/>
      <c r="D7" s="36"/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</row>
    <row r="8" spans="2:15" x14ac:dyDescent="0.35">
      <c r="B8" s="36" t="s">
        <v>34</v>
      </c>
      <c r="C8" s="36"/>
      <c r="D8" s="36"/>
      <c r="F8" s="1">
        <v>2</v>
      </c>
      <c r="G8" s="1">
        <v>2</v>
      </c>
      <c r="H8" s="1">
        <v>2</v>
      </c>
      <c r="I8" s="1">
        <v>3</v>
      </c>
      <c r="J8" s="1">
        <v>3</v>
      </c>
      <c r="K8" s="1">
        <v>3</v>
      </c>
      <c r="L8" s="1">
        <v>3</v>
      </c>
      <c r="M8" s="1">
        <v>3</v>
      </c>
      <c r="N8" s="1">
        <v>3</v>
      </c>
      <c r="O8" s="1">
        <v>3</v>
      </c>
    </row>
    <row r="9" spans="2:15" x14ac:dyDescent="0.35">
      <c r="B9" s="36" t="s">
        <v>35</v>
      </c>
      <c r="C9" s="36"/>
      <c r="D9" s="36"/>
      <c r="F9" s="1" t="s">
        <v>36</v>
      </c>
      <c r="G9" s="1" t="s">
        <v>36</v>
      </c>
      <c r="H9" s="1">
        <v>2</v>
      </c>
      <c r="I9" s="1">
        <v>6</v>
      </c>
      <c r="J9" s="1">
        <v>6</v>
      </c>
      <c r="K9" s="1">
        <v>9</v>
      </c>
      <c r="L9" s="1">
        <v>9</v>
      </c>
      <c r="M9" s="1">
        <v>9</v>
      </c>
      <c r="N9" s="1">
        <v>9</v>
      </c>
      <c r="O9" s="1">
        <v>9</v>
      </c>
    </row>
    <row r="10" spans="2:15" x14ac:dyDescent="0.35">
      <c r="B10" s="36" t="s">
        <v>37</v>
      </c>
      <c r="C10" s="36"/>
      <c r="D10" s="36"/>
      <c r="F10" s="1" t="s">
        <v>36</v>
      </c>
      <c r="G10" s="1">
        <v>1</v>
      </c>
      <c r="H10" s="1">
        <v>2</v>
      </c>
      <c r="I10" s="1">
        <v>3</v>
      </c>
      <c r="J10" s="1">
        <v>3</v>
      </c>
      <c r="K10" s="1">
        <v>3</v>
      </c>
      <c r="L10" s="1">
        <v>3</v>
      </c>
      <c r="M10" s="1">
        <v>3</v>
      </c>
      <c r="N10" s="1">
        <v>3</v>
      </c>
      <c r="O10" s="1">
        <v>3</v>
      </c>
    </row>
    <row r="11" spans="2:15" x14ac:dyDescent="0.35">
      <c r="B11" s="36" t="s">
        <v>38</v>
      </c>
      <c r="C11" s="36"/>
      <c r="D11" s="36"/>
      <c r="F11" s="1" t="s">
        <v>36</v>
      </c>
      <c r="G11" s="1" t="s">
        <v>36</v>
      </c>
      <c r="H11" s="1">
        <v>1</v>
      </c>
      <c r="I11" s="1">
        <v>1</v>
      </c>
      <c r="J11" s="1">
        <v>1</v>
      </c>
      <c r="K11" s="1">
        <v>3</v>
      </c>
      <c r="L11" s="1">
        <v>3</v>
      </c>
      <c r="M11" s="1">
        <v>3</v>
      </c>
      <c r="N11" s="1">
        <v>3</v>
      </c>
      <c r="O11" s="1">
        <v>3</v>
      </c>
    </row>
    <row r="12" spans="2:15" ht="15" thickBot="1" x14ac:dyDescent="0.4">
      <c r="B12" s="37" t="s">
        <v>39</v>
      </c>
      <c r="C12" s="37"/>
      <c r="D12" s="37"/>
      <c r="E12" s="7"/>
      <c r="F12" s="21" t="s">
        <v>36</v>
      </c>
      <c r="G12" s="21" t="s">
        <v>36</v>
      </c>
      <c r="H12" s="21">
        <v>1</v>
      </c>
      <c r="I12" s="21">
        <v>1</v>
      </c>
      <c r="J12" s="21">
        <v>1</v>
      </c>
      <c r="K12" s="21">
        <v>3</v>
      </c>
      <c r="L12" s="21">
        <v>3</v>
      </c>
      <c r="M12" s="21">
        <v>3</v>
      </c>
      <c r="N12" s="21">
        <v>3</v>
      </c>
      <c r="O12" s="21">
        <v>3</v>
      </c>
    </row>
    <row r="13" spans="2:15" ht="15" thickBot="1" x14ac:dyDescent="0.4">
      <c r="B13" s="35" t="s">
        <v>44</v>
      </c>
      <c r="C13" s="35"/>
      <c r="D13" s="35"/>
      <c r="E13" s="7"/>
      <c r="F13" s="21">
        <f t="shared" ref="F13:O13" si="0">SUM(F7:F12)</f>
        <v>3</v>
      </c>
      <c r="G13" s="21">
        <f t="shared" si="0"/>
        <v>4</v>
      </c>
      <c r="H13" s="21">
        <f t="shared" si="0"/>
        <v>9</v>
      </c>
      <c r="I13" s="21">
        <f t="shared" si="0"/>
        <v>15</v>
      </c>
      <c r="J13" s="21">
        <f t="shared" si="0"/>
        <v>15</v>
      </c>
      <c r="K13" s="21">
        <f t="shared" si="0"/>
        <v>22</v>
      </c>
      <c r="L13" s="21">
        <f t="shared" si="0"/>
        <v>22</v>
      </c>
      <c r="M13" s="21">
        <f t="shared" si="0"/>
        <v>22</v>
      </c>
      <c r="N13" s="21">
        <f t="shared" si="0"/>
        <v>22</v>
      </c>
      <c r="O13" s="21">
        <f t="shared" si="0"/>
        <v>22</v>
      </c>
    </row>
    <row r="16" spans="2:15" x14ac:dyDescent="0.35">
      <c r="B16" s="41" t="s">
        <v>40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2:15" ht="15" thickBot="1" x14ac:dyDescent="0.4">
      <c r="B17" s="37" t="s">
        <v>42</v>
      </c>
      <c r="C17" s="37"/>
      <c r="D17" s="37"/>
      <c r="E17" s="17">
        <v>0.02</v>
      </c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2:15" x14ac:dyDescent="0.35">
      <c r="B18" s="40" t="s">
        <v>33</v>
      </c>
      <c r="C18" s="40"/>
      <c r="D18" s="40"/>
      <c r="F18" s="5">
        <v>2000</v>
      </c>
      <c r="G18" s="5">
        <v>2000</v>
      </c>
      <c r="H18" s="5">
        <f>G18+G18*$E17</f>
        <v>2040</v>
      </c>
      <c r="I18" s="5">
        <f t="shared" ref="I18:N18" si="1">H18+H18*$E17</f>
        <v>2080.8000000000002</v>
      </c>
      <c r="J18" s="5">
        <f t="shared" si="1"/>
        <v>2122.4160000000002</v>
      </c>
      <c r="K18" s="5">
        <f t="shared" si="1"/>
        <v>2164.8643200000001</v>
      </c>
      <c r="L18" s="5">
        <f t="shared" si="1"/>
        <v>2208.1616064</v>
      </c>
      <c r="M18" s="5">
        <f t="shared" si="1"/>
        <v>2252.3248385279999</v>
      </c>
      <c r="N18" s="5">
        <f t="shared" si="1"/>
        <v>2297.3713352985596</v>
      </c>
      <c r="O18" s="5">
        <f>N18+N18*$E17</f>
        <v>2343.318762004531</v>
      </c>
    </row>
    <row r="19" spans="2:15" x14ac:dyDescent="0.35">
      <c r="B19" s="36" t="s">
        <v>34</v>
      </c>
      <c r="C19" s="36"/>
      <c r="D19" s="36"/>
      <c r="F19" s="5">
        <v>2000</v>
      </c>
      <c r="G19" s="5">
        <v>2000</v>
      </c>
      <c r="H19" s="5">
        <f>G19+G19*$E17</f>
        <v>2040</v>
      </c>
      <c r="I19" s="5">
        <f t="shared" ref="I19:O19" si="2">H19+H19*$E17</f>
        <v>2080.8000000000002</v>
      </c>
      <c r="J19" s="5">
        <f t="shared" si="2"/>
        <v>2122.4160000000002</v>
      </c>
      <c r="K19" s="5">
        <f t="shared" si="2"/>
        <v>2164.8643200000001</v>
      </c>
      <c r="L19" s="5">
        <f t="shared" si="2"/>
        <v>2208.1616064</v>
      </c>
      <c r="M19" s="5">
        <f t="shared" si="2"/>
        <v>2252.3248385279999</v>
      </c>
      <c r="N19" s="5">
        <f t="shared" si="2"/>
        <v>2297.3713352985596</v>
      </c>
      <c r="O19" s="5">
        <f t="shared" si="2"/>
        <v>2343.318762004531</v>
      </c>
    </row>
    <row r="20" spans="2:15" x14ac:dyDescent="0.35">
      <c r="B20" s="36" t="s">
        <v>35</v>
      </c>
      <c r="C20" s="36"/>
      <c r="D20" s="36"/>
      <c r="F20" s="5">
        <v>0</v>
      </c>
      <c r="G20" s="5">
        <v>0</v>
      </c>
      <c r="H20" s="5">
        <v>1800</v>
      </c>
      <c r="I20" s="5">
        <f>H20+H20*$E17</f>
        <v>1836</v>
      </c>
      <c r="J20" s="5">
        <f>I20+I20*$E17</f>
        <v>1872.72</v>
      </c>
      <c r="K20" s="5">
        <f t="shared" ref="K20:O20" si="3">J20+J20*$E17</f>
        <v>1910.1744000000001</v>
      </c>
      <c r="L20" s="5">
        <f t="shared" si="3"/>
        <v>1948.3778880000002</v>
      </c>
      <c r="M20" s="5">
        <f t="shared" si="3"/>
        <v>1987.3454457600003</v>
      </c>
      <c r="N20" s="5">
        <f t="shared" si="3"/>
        <v>2027.0923546752003</v>
      </c>
      <c r="O20" s="5">
        <f t="shared" si="3"/>
        <v>2067.6342017687043</v>
      </c>
    </row>
    <row r="21" spans="2:15" x14ac:dyDescent="0.35">
      <c r="B21" s="36" t="s">
        <v>37</v>
      </c>
      <c r="C21" s="36"/>
      <c r="D21" s="36"/>
      <c r="F21" s="5">
        <v>0</v>
      </c>
      <c r="G21" s="5">
        <v>1000</v>
      </c>
      <c r="H21" s="5">
        <f>G21+G21*$E17</f>
        <v>1020</v>
      </c>
      <c r="I21" s="5">
        <f t="shared" ref="I21:O21" si="4">H21+H21*$E17</f>
        <v>1040.4000000000001</v>
      </c>
      <c r="J21" s="5">
        <f t="shared" si="4"/>
        <v>1061.2080000000001</v>
      </c>
      <c r="K21" s="5">
        <f t="shared" si="4"/>
        <v>1082.4321600000001</v>
      </c>
      <c r="L21" s="5">
        <f t="shared" si="4"/>
        <v>1104.0808032</v>
      </c>
      <c r="M21" s="5">
        <f t="shared" si="4"/>
        <v>1126.1624192639999</v>
      </c>
      <c r="N21" s="5">
        <f t="shared" si="4"/>
        <v>1148.6856676492798</v>
      </c>
      <c r="O21" s="5">
        <f t="shared" si="4"/>
        <v>1171.6593810022655</v>
      </c>
    </row>
    <row r="22" spans="2:15" ht="14.5" customHeight="1" x14ac:dyDescent="0.35">
      <c r="B22" s="36" t="s">
        <v>38</v>
      </c>
      <c r="C22" s="36"/>
      <c r="D22" s="36"/>
      <c r="F22" s="5">
        <v>0</v>
      </c>
      <c r="G22" s="5">
        <v>0</v>
      </c>
      <c r="H22" s="5">
        <v>1200</v>
      </c>
      <c r="I22" s="5">
        <f>H22+H22*$E17</f>
        <v>1224</v>
      </c>
      <c r="J22" s="5">
        <f>I22+I22*$E17</f>
        <v>1248.48</v>
      </c>
      <c r="K22" s="5">
        <f t="shared" ref="K22:O22" si="5">J22+J22*$E17</f>
        <v>1273.4495999999999</v>
      </c>
      <c r="L22" s="5">
        <f t="shared" si="5"/>
        <v>1298.918592</v>
      </c>
      <c r="M22" s="5">
        <f t="shared" si="5"/>
        <v>1324.8969638399999</v>
      </c>
      <c r="N22" s="5">
        <f t="shared" si="5"/>
        <v>1351.3949031167999</v>
      </c>
      <c r="O22" s="5">
        <f t="shared" si="5"/>
        <v>1378.4228011791358</v>
      </c>
    </row>
    <row r="23" spans="2:15" ht="15" thickBot="1" x14ac:dyDescent="0.4">
      <c r="B23" s="37" t="s">
        <v>39</v>
      </c>
      <c r="C23" s="37"/>
      <c r="D23" s="37"/>
      <c r="E23" s="7"/>
      <c r="F23" s="18">
        <v>0</v>
      </c>
      <c r="G23" s="18">
        <v>0</v>
      </c>
      <c r="H23" s="18">
        <v>1550</v>
      </c>
      <c r="I23" s="5">
        <f>H23+H23*$E17</f>
        <v>1581</v>
      </c>
      <c r="J23" s="5">
        <f>I23+I23*$E17</f>
        <v>1612.62</v>
      </c>
      <c r="K23" s="5">
        <f t="shared" ref="K23:O23" si="6">J23+J23*$E17</f>
        <v>1644.8724</v>
      </c>
      <c r="L23" s="5">
        <f t="shared" si="6"/>
        <v>1677.7698479999999</v>
      </c>
      <c r="M23" s="5">
        <f t="shared" si="6"/>
        <v>1711.32524496</v>
      </c>
      <c r="N23" s="5">
        <f t="shared" si="6"/>
        <v>1745.5517498592001</v>
      </c>
      <c r="O23" s="5">
        <f t="shared" si="6"/>
        <v>1780.4627848563841</v>
      </c>
    </row>
    <row r="24" spans="2:15" ht="15" thickBot="1" x14ac:dyDescent="0.4">
      <c r="B24" s="39" t="s">
        <v>43</v>
      </c>
      <c r="C24" s="39"/>
      <c r="D24" s="39"/>
      <c r="E24" s="19"/>
      <c r="F24" s="20">
        <f>SUMPRODUCT(F18:F23,F7:F12)</f>
        <v>6000</v>
      </c>
      <c r="G24" s="20">
        <f t="shared" ref="G24:O24" si="7">SUMPRODUCT(G18:G23,G7:G12)</f>
        <v>7000</v>
      </c>
      <c r="H24" s="20">
        <f t="shared" si="7"/>
        <v>14510</v>
      </c>
      <c r="I24" s="20">
        <f t="shared" si="7"/>
        <v>25265.4</v>
      </c>
      <c r="J24" s="20">
        <f t="shared" si="7"/>
        <v>25770.707999999999</v>
      </c>
      <c r="K24" s="20">
        <f t="shared" si="7"/>
        <v>37853.289360000002</v>
      </c>
      <c r="L24" s="20">
        <f t="shared" si="7"/>
        <v>38610.355147199996</v>
      </c>
      <c r="M24" s="20">
        <f t="shared" si="7"/>
        <v>39382.562250144001</v>
      </c>
      <c r="N24" s="20">
        <f t="shared" si="7"/>
        <v>40170.213495146876</v>
      </c>
      <c r="O24" s="20">
        <f t="shared" si="7"/>
        <v>40973.617765049814</v>
      </c>
    </row>
    <row r="25" spans="2:15" ht="14.5" customHeight="1" x14ac:dyDescent="0.35"/>
  </sheetData>
  <mergeCells count="19">
    <mergeCell ref="B19:D19"/>
    <mergeCell ref="B18:D18"/>
    <mergeCell ref="B3:H3"/>
    <mergeCell ref="B16:O16"/>
    <mergeCell ref="B17:D17"/>
    <mergeCell ref="B10:D10"/>
    <mergeCell ref="B9:D9"/>
    <mergeCell ref="B8:D8"/>
    <mergeCell ref="B7:D7"/>
    <mergeCell ref="B24:D24"/>
    <mergeCell ref="B23:D23"/>
    <mergeCell ref="B22:D22"/>
    <mergeCell ref="B21:D21"/>
    <mergeCell ref="B20:D20"/>
    <mergeCell ref="B13:D13"/>
    <mergeCell ref="B2:E2"/>
    <mergeCell ref="B11:D11"/>
    <mergeCell ref="B12:D12"/>
    <mergeCell ref="B6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41C76-99AE-4F9F-831F-7ED0A63A3DA6}">
  <dimension ref="B2:O29"/>
  <sheetViews>
    <sheetView topLeftCell="A9" zoomScale="99" zoomScaleNormal="145" workbookViewId="0">
      <selection activeCell="N33" sqref="N33"/>
    </sheetView>
  </sheetViews>
  <sheetFormatPr defaultRowHeight="14.5" x14ac:dyDescent="0.35"/>
  <cols>
    <col min="6" max="6" width="12.54296875" bestFit="1" customWidth="1"/>
    <col min="7" max="7" width="11.81640625" customWidth="1"/>
    <col min="8" max="8" width="11.54296875" customWidth="1"/>
    <col min="9" max="9" width="11.453125" bestFit="1" customWidth="1"/>
    <col min="10" max="10" width="11.7265625" customWidth="1"/>
    <col min="11" max="11" width="11.453125" bestFit="1" customWidth="1"/>
    <col min="12" max="12" width="11.7265625" customWidth="1"/>
    <col min="13" max="13" width="11.453125" customWidth="1"/>
    <col min="14" max="15" width="11.26953125" customWidth="1"/>
  </cols>
  <sheetData>
    <row r="2" spans="2:15" ht="23.5" x14ac:dyDescent="0.55000000000000004">
      <c r="B2" s="32" t="s">
        <v>47</v>
      </c>
      <c r="C2" s="32"/>
      <c r="D2" s="32"/>
    </row>
    <row r="3" spans="2:15" ht="18.5" x14ac:dyDescent="0.45">
      <c r="B3" s="31" t="s">
        <v>45</v>
      </c>
      <c r="C3" s="31"/>
      <c r="D3" s="31"/>
      <c r="E3" s="31"/>
      <c r="F3" s="31"/>
      <c r="G3" s="31"/>
      <c r="H3" s="31"/>
    </row>
    <row r="5" spans="2:15" x14ac:dyDescent="0.35">
      <c r="G5" s="3"/>
    </row>
    <row r="6" spans="2:15" x14ac:dyDescent="0.35">
      <c r="G6" s="41" t="s">
        <v>60</v>
      </c>
      <c r="H6" s="41"/>
      <c r="I6" s="41"/>
      <c r="J6" s="41"/>
      <c r="K6" s="41"/>
    </row>
    <row r="7" spans="2:15" ht="15" thickBot="1" x14ac:dyDescent="0.4">
      <c r="B7" s="7"/>
      <c r="C7" s="7"/>
      <c r="D7" s="7"/>
      <c r="E7" s="7"/>
      <c r="F7" s="22" t="s">
        <v>23</v>
      </c>
      <c r="G7" s="22" t="s">
        <v>24</v>
      </c>
      <c r="H7" s="22" t="s">
        <v>25</v>
      </c>
      <c r="I7" s="22" t="s">
        <v>26</v>
      </c>
      <c r="J7" s="22" t="s">
        <v>27</v>
      </c>
      <c r="K7" s="22" t="s">
        <v>28</v>
      </c>
      <c r="L7" s="22" t="s">
        <v>29</v>
      </c>
      <c r="M7" s="22" t="s">
        <v>30</v>
      </c>
      <c r="N7" s="22" t="s">
        <v>31</v>
      </c>
      <c r="O7" s="22" t="s">
        <v>32</v>
      </c>
    </row>
    <row r="8" spans="2:15" ht="15" thickBot="1" x14ac:dyDescent="0.4">
      <c r="B8" s="39" t="s">
        <v>48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</row>
    <row r="9" spans="2:15" x14ac:dyDescent="0.35">
      <c r="B9" s="40" t="s">
        <v>49</v>
      </c>
      <c r="C9" s="40"/>
      <c r="D9" s="40"/>
      <c r="E9" s="40"/>
      <c r="F9" s="5">
        <v>2400</v>
      </c>
      <c r="G9" s="5">
        <v>2400</v>
      </c>
      <c r="H9" s="5">
        <v>2400</v>
      </c>
      <c r="I9" s="5">
        <v>2400</v>
      </c>
      <c r="J9" s="5">
        <v>2400</v>
      </c>
      <c r="K9" s="5">
        <v>2400</v>
      </c>
      <c r="L9" s="5">
        <v>2400</v>
      </c>
      <c r="M9" s="5">
        <v>2400</v>
      </c>
      <c r="N9" s="5">
        <v>2400</v>
      </c>
      <c r="O9" s="5">
        <v>2400</v>
      </c>
    </row>
    <row r="10" spans="2:15" x14ac:dyDescent="0.35">
      <c r="B10" s="36" t="s">
        <v>50</v>
      </c>
      <c r="C10" s="36"/>
      <c r="D10" s="36"/>
      <c r="E10" s="36"/>
      <c r="F10" s="25">
        <v>600</v>
      </c>
      <c r="G10" s="25">
        <v>600</v>
      </c>
      <c r="H10" s="25">
        <v>600</v>
      </c>
      <c r="I10" s="25">
        <v>600</v>
      </c>
      <c r="J10" s="25">
        <v>600</v>
      </c>
      <c r="K10" s="25">
        <v>600</v>
      </c>
      <c r="L10" s="25">
        <v>600</v>
      </c>
      <c r="M10" s="25">
        <v>600</v>
      </c>
      <c r="N10" s="25">
        <v>600</v>
      </c>
      <c r="O10" s="25">
        <v>600</v>
      </c>
    </row>
    <row r="12" spans="2:15" ht="15" thickBot="1" x14ac:dyDescent="0.4">
      <c r="B12" s="35" t="s">
        <v>51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3" spans="2:15" x14ac:dyDescent="0.35">
      <c r="B13" s="40" t="s">
        <v>62</v>
      </c>
      <c r="C13" s="40"/>
      <c r="D13" s="40"/>
      <c r="E13" s="40"/>
      <c r="F13" s="5">
        <v>1200</v>
      </c>
      <c r="G13" s="5">
        <v>1200</v>
      </c>
      <c r="H13" s="5">
        <v>1200</v>
      </c>
      <c r="I13" s="5">
        <v>1200</v>
      </c>
      <c r="J13" s="5">
        <v>1200</v>
      </c>
      <c r="K13" s="5">
        <v>1200</v>
      </c>
      <c r="L13" s="5">
        <v>1200</v>
      </c>
      <c r="M13" s="5">
        <v>1200</v>
      </c>
      <c r="N13" s="5">
        <v>1200</v>
      </c>
      <c r="O13" s="5">
        <v>1200</v>
      </c>
    </row>
    <row r="14" spans="2:15" x14ac:dyDescent="0.35">
      <c r="B14" s="36" t="s">
        <v>52</v>
      </c>
      <c r="C14" s="36"/>
      <c r="D14" s="36"/>
      <c r="E14" s="36"/>
      <c r="F14" s="5">
        <v>1500</v>
      </c>
      <c r="G14" s="5">
        <v>1500</v>
      </c>
      <c r="H14" s="5">
        <v>1500</v>
      </c>
      <c r="I14" s="5">
        <v>1500</v>
      </c>
      <c r="J14" s="5">
        <v>1500</v>
      </c>
      <c r="K14" s="5">
        <v>1500</v>
      </c>
      <c r="L14" s="5">
        <v>1500</v>
      </c>
      <c r="M14" s="5">
        <v>1500</v>
      </c>
      <c r="N14" s="5">
        <v>1500</v>
      </c>
      <c r="O14" s="5">
        <v>1500</v>
      </c>
    </row>
    <row r="15" spans="2:15" x14ac:dyDescent="0.35">
      <c r="B15" s="36" t="s">
        <v>63</v>
      </c>
      <c r="C15" s="36"/>
      <c r="D15" s="36"/>
      <c r="E15" s="36"/>
      <c r="F15" s="5">
        <v>150</v>
      </c>
      <c r="G15" s="5">
        <v>150</v>
      </c>
      <c r="H15" s="5">
        <v>150</v>
      </c>
      <c r="I15" s="5">
        <v>150</v>
      </c>
      <c r="J15" s="5">
        <v>150</v>
      </c>
      <c r="K15" s="5">
        <v>150</v>
      </c>
      <c r="L15" s="5">
        <v>150</v>
      </c>
      <c r="M15" s="5">
        <v>150</v>
      </c>
      <c r="N15" s="5">
        <v>150</v>
      </c>
      <c r="O15" s="5">
        <v>150</v>
      </c>
    </row>
    <row r="16" spans="2:15" x14ac:dyDescent="0.35">
      <c r="B16" s="36" t="s">
        <v>53</v>
      </c>
      <c r="C16" s="36"/>
      <c r="D16" s="36"/>
      <c r="E16" s="36"/>
      <c r="F16" s="25">
        <f>1000*12</f>
        <v>12000</v>
      </c>
      <c r="G16" s="25">
        <f t="shared" ref="G16:H16" si="0">1000*12</f>
        <v>12000</v>
      </c>
      <c r="H16" s="25">
        <f t="shared" si="0"/>
        <v>12000</v>
      </c>
      <c r="I16" s="25">
        <f>2000*12</f>
        <v>24000</v>
      </c>
      <c r="J16" s="25">
        <f>2000*12</f>
        <v>24000</v>
      </c>
      <c r="K16" s="25">
        <f>3500*12</f>
        <v>42000</v>
      </c>
      <c r="L16" s="25">
        <f t="shared" ref="L16:O16" si="1">3500*12</f>
        <v>42000</v>
      </c>
      <c r="M16" s="25">
        <f t="shared" si="1"/>
        <v>42000</v>
      </c>
      <c r="N16" s="25">
        <f t="shared" si="1"/>
        <v>42000</v>
      </c>
      <c r="O16" s="25">
        <f t="shared" si="1"/>
        <v>42000</v>
      </c>
    </row>
    <row r="18" spans="2:15" ht="15" thickBot="1" x14ac:dyDescent="0.4">
      <c r="B18" s="35" t="s">
        <v>54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</row>
    <row r="19" spans="2:15" x14ac:dyDescent="0.35">
      <c r="B19" s="40" t="s">
        <v>55</v>
      </c>
      <c r="C19" s="40"/>
      <c r="D19" s="40"/>
      <c r="E19" s="40"/>
      <c r="F19" s="25">
        <v>200</v>
      </c>
      <c r="G19" s="25">
        <v>200</v>
      </c>
      <c r="H19" s="25">
        <v>200</v>
      </c>
      <c r="I19" s="25">
        <v>200</v>
      </c>
      <c r="J19" s="25">
        <v>200</v>
      </c>
      <c r="K19" s="25">
        <v>200</v>
      </c>
      <c r="L19" s="25">
        <v>200</v>
      </c>
      <c r="M19" s="25">
        <v>200</v>
      </c>
      <c r="N19" s="25">
        <v>200</v>
      </c>
      <c r="O19" s="25">
        <v>200</v>
      </c>
    </row>
    <row r="21" spans="2:15" ht="15" thickBot="1" x14ac:dyDescent="0.4">
      <c r="B21" s="35" t="s">
        <v>61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</row>
    <row r="22" spans="2:15" x14ac:dyDescent="0.35">
      <c r="B22" s="40" t="s">
        <v>56</v>
      </c>
      <c r="C22" s="40"/>
      <c r="D22" s="40"/>
      <c r="E22" s="40"/>
      <c r="F22" s="5">
        <v>7500</v>
      </c>
      <c r="G22" s="5">
        <f>F22+F22*0.15</f>
        <v>8625</v>
      </c>
      <c r="H22" s="5">
        <f t="shared" ref="H22:O22" si="2">G22+G22*0.15</f>
        <v>9918.75</v>
      </c>
      <c r="I22" s="5">
        <f t="shared" si="2"/>
        <v>11406.5625</v>
      </c>
      <c r="J22" s="5">
        <f t="shared" si="2"/>
        <v>13117.546875</v>
      </c>
      <c r="K22" s="5">
        <f t="shared" si="2"/>
        <v>15085.178906249999</v>
      </c>
      <c r="L22" s="5">
        <f t="shared" si="2"/>
        <v>17347.9557421875</v>
      </c>
      <c r="M22" s="5">
        <f t="shared" si="2"/>
        <v>19950.149103515625</v>
      </c>
      <c r="N22" s="5">
        <f t="shared" si="2"/>
        <v>22942.671469042969</v>
      </c>
      <c r="O22" s="5">
        <f t="shared" si="2"/>
        <v>26384.072189399412</v>
      </c>
    </row>
    <row r="23" spans="2:15" x14ac:dyDescent="0.35">
      <c r="B23" s="3"/>
    </row>
    <row r="24" spans="2:15" ht="15" thickBot="1" x14ac:dyDescent="0.4">
      <c r="B24" s="35" t="s">
        <v>57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</row>
    <row r="25" spans="2:15" x14ac:dyDescent="0.35">
      <c r="B25" s="40" t="s">
        <v>58</v>
      </c>
      <c r="C25" s="40"/>
      <c r="D25" s="40"/>
      <c r="E25" s="40"/>
      <c r="F25" s="5">
        <f>300*12</f>
        <v>3600</v>
      </c>
      <c r="G25" s="5">
        <f t="shared" ref="G25:O25" si="3">300*12</f>
        <v>3600</v>
      </c>
      <c r="H25" s="5">
        <f t="shared" si="3"/>
        <v>3600</v>
      </c>
      <c r="I25" s="5">
        <f t="shared" si="3"/>
        <v>3600</v>
      </c>
      <c r="J25" s="5">
        <f t="shared" si="3"/>
        <v>3600</v>
      </c>
      <c r="K25" s="5">
        <f t="shared" si="3"/>
        <v>3600</v>
      </c>
      <c r="L25" s="5">
        <f t="shared" si="3"/>
        <v>3600</v>
      </c>
      <c r="M25" s="5">
        <f t="shared" si="3"/>
        <v>3600</v>
      </c>
      <c r="N25" s="5">
        <f t="shared" si="3"/>
        <v>3600</v>
      </c>
      <c r="O25" s="5">
        <f t="shared" si="3"/>
        <v>3600</v>
      </c>
    </row>
    <row r="26" spans="2:15" x14ac:dyDescent="0.35">
      <c r="B26" s="36" t="s">
        <v>59</v>
      </c>
      <c r="C26" s="36"/>
      <c r="D26" s="36"/>
      <c r="E26" s="36"/>
      <c r="F26" s="5">
        <v>120</v>
      </c>
      <c r="G26" s="5">
        <v>120</v>
      </c>
      <c r="H26" s="5">
        <v>120</v>
      </c>
      <c r="I26" s="5">
        <v>120</v>
      </c>
      <c r="J26" s="5">
        <v>120</v>
      </c>
      <c r="K26" s="5">
        <v>120</v>
      </c>
      <c r="L26" s="5">
        <v>120</v>
      </c>
      <c r="M26" s="5">
        <v>120</v>
      </c>
      <c r="N26" s="5">
        <v>120</v>
      </c>
      <c r="O26" s="5">
        <v>120</v>
      </c>
    </row>
    <row r="27" spans="2:15" x14ac:dyDescent="0.35">
      <c r="B27" s="36" t="s">
        <v>70</v>
      </c>
      <c r="C27" s="36"/>
      <c r="D27" s="36"/>
      <c r="E27" s="36"/>
      <c r="F27" s="5">
        <v>1000</v>
      </c>
      <c r="G27" s="5">
        <v>1000</v>
      </c>
      <c r="H27" s="5">
        <v>1000</v>
      </c>
      <c r="I27" s="5">
        <v>1000</v>
      </c>
      <c r="J27" s="5">
        <v>1000</v>
      </c>
      <c r="K27" s="5">
        <v>1000</v>
      </c>
      <c r="L27" s="5">
        <v>1000</v>
      </c>
      <c r="M27" s="5">
        <v>1000</v>
      </c>
      <c r="N27" s="5">
        <v>1000</v>
      </c>
      <c r="O27" s="5">
        <v>1000</v>
      </c>
    </row>
    <row r="28" spans="2:15" ht="15" thickBot="1" x14ac:dyDescent="0.4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2:15" ht="15" thickBot="1" x14ac:dyDescent="0.4">
      <c r="B29" s="30" t="s">
        <v>64</v>
      </c>
      <c r="C29" s="30"/>
      <c r="D29" s="30"/>
      <c r="E29" s="30"/>
      <c r="F29" s="42">
        <f>SUM(F9:F10,F13:F16,F19,F22,F25:F27)</f>
        <v>30270</v>
      </c>
      <c r="G29" s="42">
        <f>SUM(G9:G10,G13:G16,G19,G22,G25:G27)</f>
        <v>31395</v>
      </c>
      <c r="H29" s="42">
        <f t="shared" ref="H29:O29" si="4">SUM(H9:H10,H13:H16,H19,H22,H25:H27)</f>
        <v>32688.75</v>
      </c>
      <c r="I29" s="42">
        <f t="shared" si="4"/>
        <v>46176.5625</v>
      </c>
      <c r="J29" s="42">
        <f t="shared" si="4"/>
        <v>47887.546875</v>
      </c>
      <c r="K29" s="42">
        <f t="shared" si="4"/>
        <v>67855.178906250003</v>
      </c>
      <c r="L29" s="42">
        <f t="shared" si="4"/>
        <v>70117.955742187507</v>
      </c>
      <c r="M29" s="42">
        <f t="shared" si="4"/>
        <v>72720.149103515621</v>
      </c>
      <c r="N29" s="42">
        <f t="shared" si="4"/>
        <v>75712.671469042965</v>
      </c>
      <c r="O29" s="42">
        <f t="shared" si="4"/>
        <v>79154.07218939942</v>
      </c>
    </row>
  </sheetData>
  <mergeCells count="20">
    <mergeCell ref="B2:D2"/>
    <mergeCell ref="B3:H3"/>
    <mergeCell ref="G6:K6"/>
    <mergeCell ref="B8:O8"/>
    <mergeCell ref="B12:O12"/>
    <mergeCell ref="B18:O18"/>
    <mergeCell ref="B24:O24"/>
    <mergeCell ref="B21:O21"/>
    <mergeCell ref="B9:E9"/>
    <mergeCell ref="B10:E10"/>
    <mergeCell ref="B13:E13"/>
    <mergeCell ref="B14:E14"/>
    <mergeCell ref="B15:E15"/>
    <mergeCell ref="B16:E16"/>
    <mergeCell ref="B25:E25"/>
    <mergeCell ref="B26:E26"/>
    <mergeCell ref="B27:E27"/>
    <mergeCell ref="B29:E29"/>
    <mergeCell ref="B19:E19"/>
    <mergeCell ref="B22:E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7D4A-D71B-4B25-A4E0-D67E034D52C4}">
  <dimension ref="A1"/>
  <sheetViews>
    <sheetView zoomScale="84"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A098-B046-4C5F-8F35-7140F7AC5AEB}">
  <dimension ref="A1"/>
  <sheetViews>
    <sheetView workbookViewId="0">
      <selection activeCell="K23" sqref="K22:K2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1. Premissas</vt:lpstr>
      <vt:lpstr>2. Investimento Inicial</vt:lpstr>
      <vt:lpstr>3. BOM &amp; Produção</vt:lpstr>
      <vt:lpstr>4. Quadro Pessoal</vt:lpstr>
      <vt:lpstr>5. Despesas Fixas</vt:lpstr>
      <vt:lpstr>6. Vendas</vt:lpstr>
      <vt:lpstr>7. Fluxo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Ramos</dc:creator>
  <cp:lastModifiedBy>Gonçalo Ramos</cp:lastModifiedBy>
  <dcterms:created xsi:type="dcterms:W3CDTF">2026-04-28T13:47:12Z</dcterms:created>
  <dcterms:modified xsi:type="dcterms:W3CDTF">2026-06-26T15:11:32Z</dcterms:modified>
</cp:coreProperties>
</file>