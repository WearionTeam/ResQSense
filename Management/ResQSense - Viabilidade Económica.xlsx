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ngo\Desktop\Nova pasta\"/>
    </mc:Choice>
  </mc:AlternateContent>
  <xr:revisionPtr revIDLastSave="0" documentId="13_ncr:1_{A82176D2-3112-42E8-A700-7F728D5F7391}" xr6:coauthVersionLast="47" xr6:coauthVersionMax="47" xr10:uidLastSave="{00000000-0000-0000-0000-000000000000}"/>
  <bookViews>
    <workbookView xWindow="-110" yWindow="-110" windowWidth="19420" windowHeight="11500" activeTab="2" xr2:uid="{4554821D-C129-48AC-93D8-1942F3EBB469}"/>
  </bookViews>
  <sheets>
    <sheet name="Versão 1" sheetId="1" r:id="rId1"/>
    <sheet name="Versão 2" sheetId="2" r:id="rId2"/>
    <sheet name="Versão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6" i="3" l="1"/>
  <c r="E106" i="3"/>
  <c r="E105" i="3"/>
  <c r="E104" i="3"/>
  <c r="E103" i="3"/>
  <c r="E102" i="3"/>
  <c r="E101" i="3"/>
  <c r="E100" i="3"/>
  <c r="E99" i="3"/>
  <c r="E98" i="3"/>
  <c r="E97" i="3"/>
  <c r="G91" i="3"/>
  <c r="G90" i="3"/>
  <c r="G89" i="3"/>
  <c r="G88" i="3"/>
  <c r="I80" i="3"/>
  <c r="D78" i="3"/>
  <c r="D79" i="3" s="1"/>
  <c r="E65" i="3"/>
  <c r="F98" i="3" s="1"/>
  <c r="E62" i="3"/>
  <c r="F27" i="3"/>
  <c r="C30" i="3" s="1"/>
  <c r="L22" i="3"/>
  <c r="D79" i="2"/>
  <c r="I80" i="2"/>
  <c r="E106" i="2"/>
  <c r="E105" i="2"/>
  <c r="E104" i="2"/>
  <c r="E103" i="2"/>
  <c r="E102" i="2"/>
  <c r="E101" i="2"/>
  <c r="E100" i="2"/>
  <c r="E99" i="2"/>
  <c r="E98" i="2"/>
  <c r="E97" i="2"/>
  <c r="E62" i="2"/>
  <c r="D105" i="2"/>
  <c r="D106" i="2"/>
  <c r="D104" i="2"/>
  <c r="E88" i="1"/>
  <c r="D103" i="2"/>
  <c r="D102" i="2"/>
  <c r="D101" i="2"/>
  <c r="D100" i="2"/>
  <c r="D99" i="2"/>
  <c r="D98" i="2"/>
  <c r="D97" i="2"/>
  <c r="G91" i="2"/>
  <c r="G90" i="2"/>
  <c r="G89" i="2"/>
  <c r="G88" i="2"/>
  <c r="D76" i="2"/>
  <c r="D78" i="2"/>
  <c r="E66" i="2"/>
  <c r="F103" i="2" s="1"/>
  <c r="E65" i="2"/>
  <c r="F98" i="2" s="1"/>
  <c r="F27" i="2"/>
  <c r="L22" i="2"/>
  <c r="F93" i="1"/>
  <c r="F92" i="1"/>
  <c r="E93" i="1"/>
  <c r="D93" i="1"/>
  <c r="E92" i="1"/>
  <c r="E91" i="1"/>
  <c r="E90" i="1"/>
  <c r="E89" i="1"/>
  <c r="C82" i="1"/>
  <c r="G75" i="1"/>
  <c r="G76" i="1"/>
  <c r="G77" i="1"/>
  <c r="G74" i="1"/>
  <c r="J64" i="1"/>
  <c r="J65" i="1"/>
  <c r="J63" i="1"/>
  <c r="I66" i="1"/>
  <c r="J66" i="1" s="1"/>
  <c r="D64" i="1"/>
  <c r="D65" i="1" s="1"/>
  <c r="E47" i="1"/>
  <c r="F27" i="1"/>
  <c r="E46" i="1"/>
  <c r="E45" i="1"/>
  <c r="E44" i="1"/>
  <c r="L22" i="1"/>
  <c r="C34" i="3" l="1"/>
  <c r="C31" i="3"/>
  <c r="C36" i="3" s="1"/>
  <c r="D76" i="3" s="1"/>
  <c r="D80" i="3" s="1"/>
  <c r="F102" i="3"/>
  <c r="F106" i="3"/>
  <c r="F101" i="3"/>
  <c r="F105" i="3"/>
  <c r="F104" i="3"/>
  <c r="F99" i="3"/>
  <c r="F103" i="3"/>
  <c r="F100" i="3"/>
  <c r="F97" i="3"/>
  <c r="G103" i="2"/>
  <c r="F101" i="2"/>
  <c r="G101" i="2" s="1"/>
  <c r="F99" i="2"/>
  <c r="G99" i="2" s="1"/>
  <c r="F104" i="2"/>
  <c r="G104" i="2" s="1"/>
  <c r="F105" i="2"/>
  <c r="G105" i="2" s="1"/>
  <c r="F100" i="2"/>
  <c r="G100" i="2" s="1"/>
  <c r="F102" i="2"/>
  <c r="G102" i="2" s="1"/>
  <c r="F106" i="2"/>
  <c r="G106" i="2" s="1"/>
  <c r="F97" i="2"/>
  <c r="G97" i="2" s="1"/>
  <c r="H97" i="2" s="1"/>
  <c r="G98" i="2"/>
  <c r="D80" i="2"/>
  <c r="D81" i="2" s="1"/>
  <c r="C30" i="2"/>
  <c r="G93" i="1"/>
  <c r="E52" i="1"/>
  <c r="C30" i="1"/>
  <c r="C31" i="1" s="1"/>
  <c r="D62" i="1" s="1"/>
  <c r="D66" i="1" s="1"/>
  <c r="D98" i="3" l="1"/>
  <c r="G98" i="3" s="1"/>
  <c r="D102" i="3"/>
  <c r="G102" i="3" s="1"/>
  <c r="D106" i="3"/>
  <c r="G106" i="3" s="1"/>
  <c r="D97" i="3"/>
  <c r="G97" i="3" s="1"/>
  <c r="H97" i="3" s="1"/>
  <c r="H98" i="3" s="1"/>
  <c r="D101" i="3"/>
  <c r="G101" i="3" s="1"/>
  <c r="D105" i="3"/>
  <c r="G105" i="3" s="1"/>
  <c r="D100" i="3"/>
  <c r="G100" i="3" s="1"/>
  <c r="D104" i="3"/>
  <c r="G104" i="3" s="1"/>
  <c r="D99" i="3"/>
  <c r="G99" i="3" s="1"/>
  <c r="D81" i="3"/>
  <c r="D103" i="3"/>
  <c r="G103" i="3" s="1"/>
  <c r="H98" i="2"/>
  <c r="H99" i="2" s="1"/>
  <c r="H100" i="2" s="1"/>
  <c r="H101" i="2" s="1"/>
  <c r="H102" i="2" s="1"/>
  <c r="H103" i="2" s="1"/>
  <c r="H104" i="2" s="1"/>
  <c r="H105" i="2" s="1"/>
  <c r="H106" i="2" s="1"/>
  <c r="C31" i="2"/>
  <c r="C34" i="2"/>
  <c r="D90" i="1"/>
  <c r="D92" i="1"/>
  <c r="D91" i="1"/>
  <c r="D89" i="1"/>
  <c r="D88" i="1"/>
  <c r="F91" i="1"/>
  <c r="F90" i="1"/>
  <c r="F89" i="1"/>
  <c r="F88" i="1"/>
  <c r="G89" i="1"/>
  <c r="D67" i="1"/>
  <c r="C81" i="1"/>
  <c r="H99" i="3" l="1"/>
  <c r="H100" i="3" s="1"/>
  <c r="H101" i="3" s="1"/>
  <c r="H102" i="3" s="1"/>
  <c r="H103" i="3" s="1"/>
  <c r="H104" i="3" s="1"/>
  <c r="H105" i="3" s="1"/>
  <c r="H106" i="3" s="1"/>
  <c r="C36" i="2"/>
  <c r="G88" i="1"/>
  <c r="H88" i="1" s="1"/>
  <c r="H89" i="1" s="1"/>
  <c r="G90" i="1"/>
  <c r="H90" i="1" l="1"/>
  <c r="G91" i="1"/>
  <c r="G92" i="1"/>
  <c r="H91" i="1" l="1"/>
  <c r="H92" i="1" s="1"/>
  <c r="H9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Gonçalo Ramos</author>
  </authors>
  <commentList>
    <comment ref="B34" authorId="0" shapeId="0" xr:uid="{52784390-2B7D-4030-B4DC-B527145F357A}">
      <text>
        <r>
          <rPr>
            <b/>
            <sz val="9"/>
            <color indexed="81"/>
            <rFont val="Tahoma"/>
            <family val="2"/>
          </rPr>
          <t>Gonçalo Ramos:</t>
        </r>
        <r>
          <rPr>
            <sz val="9"/>
            <color indexed="81"/>
            <rFont val="Tahoma"/>
            <family val="2"/>
          </rPr>
          <t xml:space="preserve">
Para componentes que cheguem estragados.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Gonçalo Ramos</author>
  </authors>
  <commentList>
    <comment ref="B34" authorId="0" shapeId="0" xr:uid="{A5AD3464-8B65-4EBF-B224-7CADB2A5A6A6}">
      <text>
        <r>
          <rPr>
            <b/>
            <sz val="9"/>
            <color indexed="81"/>
            <rFont val="Tahoma"/>
            <family val="2"/>
          </rPr>
          <t>Gonçalo Ramos:</t>
        </r>
        <r>
          <rPr>
            <sz val="9"/>
            <color indexed="81"/>
            <rFont val="Tahoma"/>
            <family val="2"/>
          </rPr>
          <t xml:space="preserve">
Para componentes que cheguem estragados.
</t>
        </r>
      </text>
    </comment>
  </commentList>
</comments>
</file>

<file path=xl/sharedStrings.xml><?xml version="1.0" encoding="utf-8"?>
<sst xmlns="http://schemas.openxmlformats.org/spreadsheetml/2006/main" count="608" uniqueCount="176">
  <si>
    <t>TMP117</t>
  </si>
  <si>
    <t>SEN0344</t>
  </si>
  <si>
    <t>DFR1103</t>
  </si>
  <si>
    <t>FSR406</t>
  </si>
  <si>
    <t>MPU6050</t>
  </si>
  <si>
    <t>PPG</t>
  </si>
  <si>
    <t>DWM3000TR13</t>
  </si>
  <si>
    <t>IMU</t>
  </si>
  <si>
    <t>GNSS</t>
  </si>
  <si>
    <t>UWB</t>
  </si>
  <si>
    <t>LoRa Transciever</t>
  </si>
  <si>
    <t>RECE.20279.001E.01</t>
  </si>
  <si>
    <t>"SOS Button"</t>
  </si>
  <si>
    <t>TLV75733PDBVR</t>
  </si>
  <si>
    <t>TPS2113APWR</t>
  </si>
  <si>
    <t>MF52A2103J3470</t>
  </si>
  <si>
    <t>Adafruit RFM95W</t>
  </si>
  <si>
    <t>Adafruit MAX17048</t>
  </si>
  <si>
    <t>LDO Regulator</t>
  </si>
  <si>
    <t>Power Mux</t>
  </si>
  <si>
    <t>Thermístor NTC</t>
  </si>
  <si>
    <t>ESP32-S3 Wroom 1 N8R8</t>
  </si>
  <si>
    <t>MCU</t>
  </si>
  <si>
    <t>Fuel Gauge</t>
  </si>
  <si>
    <t>2CR5</t>
  </si>
  <si>
    <t>PC81.07.0100A.DB</t>
  </si>
  <si>
    <t>Extra Resistors</t>
  </si>
  <si>
    <t>Extra Capacitors</t>
  </si>
  <si>
    <t>-</t>
  </si>
  <si>
    <t>VN2222</t>
  </si>
  <si>
    <t>MOSFETs</t>
  </si>
  <si>
    <t>PCB Manufacturing</t>
  </si>
  <si>
    <t>TOTAL:</t>
  </si>
  <si>
    <t>Comprar só o chip e fazer a placa</t>
  </si>
  <si>
    <t>Comprar só o sensor smd PPG</t>
  </si>
  <si>
    <t>Comprar outro para uma LiFePo4</t>
  </si>
  <si>
    <t>Outra bateria sem ser de lítio</t>
  </si>
  <si>
    <t>Valor Aprox</t>
  </si>
  <si>
    <t>Valor Aproximado</t>
  </si>
  <si>
    <t>Componente</t>
  </si>
  <si>
    <t>Descrição</t>
  </si>
  <si>
    <t>Qtd.</t>
  </si>
  <si>
    <t>Preço</t>
  </si>
  <si>
    <t>Notas</t>
  </si>
  <si>
    <t>Portes de Envio</t>
  </si>
  <si>
    <t>Tecido</t>
  </si>
  <si>
    <t>1 design (5 placas) = 5,00</t>
  </si>
  <si>
    <t>Raspberry PI3 Model B+</t>
  </si>
  <si>
    <t>(x1) Dashboard Tablet</t>
  </si>
  <si>
    <t>(x1) Montioring Vest</t>
  </si>
  <si>
    <t>SC0880</t>
  </si>
  <si>
    <t>Touchscreen</t>
  </si>
  <si>
    <t>Speaker 8ohm</t>
  </si>
  <si>
    <t>BC547C</t>
  </si>
  <si>
    <t>BC557C</t>
  </si>
  <si>
    <t>BJT PNP</t>
  </si>
  <si>
    <t>BJT NPN</t>
  </si>
  <si>
    <t>BNO085</t>
  </si>
  <si>
    <t>Filamentos</t>
  </si>
  <si>
    <t>p/  Impressão 3D</t>
  </si>
  <si>
    <t>Bobine</t>
  </si>
  <si>
    <t>LiFePo4 3,7v 1Ah</t>
  </si>
  <si>
    <t>BMS</t>
  </si>
  <si>
    <t>p/ carregar bateria</t>
  </si>
  <si>
    <t>Bateria</t>
  </si>
  <si>
    <t xml:space="preserve">Custo Total de 1 Kit: </t>
  </si>
  <si>
    <t>LiFePo4 7,4v 10Ah</t>
  </si>
  <si>
    <t>Kit de Intervenção: 5 Monitoring Vest + 1 Dashboard Tablet</t>
  </si>
  <si>
    <t>Outros Custos</t>
  </si>
  <si>
    <t>Custos de Fabricação ResQSense</t>
  </si>
  <si>
    <t>Infraestrutura</t>
  </si>
  <si>
    <t>Luz</t>
  </si>
  <si>
    <t>Engenheiros</t>
  </si>
  <si>
    <t>Team Leaders</t>
  </si>
  <si>
    <t>Marketing</t>
  </si>
  <si>
    <t>CTO</t>
  </si>
  <si>
    <t>Agua</t>
  </si>
  <si>
    <t>Gás</t>
  </si>
  <si>
    <t>p/ano</t>
  </si>
  <si>
    <t>Valor</t>
  </si>
  <si>
    <t>Pessoal</t>
  </si>
  <si>
    <t>Nome</t>
  </si>
  <si>
    <t>Periodicidade</t>
  </si>
  <si>
    <t>Internet &amp; Hosting</t>
  </si>
  <si>
    <t>Outros</t>
  </si>
  <si>
    <t>Imprevistos (10%)</t>
  </si>
  <si>
    <t>Manutenção</t>
  </si>
  <si>
    <t>Impressora 3D</t>
  </si>
  <si>
    <t>Poderia ser outo touchscreen</t>
  </si>
  <si>
    <t>Modelo de Negócio</t>
  </si>
  <si>
    <t>ResQSense (CAPEX)</t>
  </si>
  <si>
    <t>Preço de Venda</t>
  </si>
  <si>
    <t>Preço de Venda (B2B)</t>
  </si>
  <si>
    <t>Comissão p/ Parceiros (15%)</t>
  </si>
  <si>
    <t>Receita Líquida:</t>
  </si>
  <si>
    <t>Item</t>
  </si>
  <si>
    <t>c/IVA</t>
  </si>
  <si>
    <t>Custo de Produção do Kit (inc. IVA)</t>
  </si>
  <si>
    <t>Equipamento</t>
  </si>
  <si>
    <t>Tabela de Comparação de Custos (por Bombeiro)</t>
  </si>
  <si>
    <t>Fato Nomex Completo</t>
  </si>
  <si>
    <t>Câmara Térmica</t>
  </si>
  <si>
    <t>Botas Profissionais</t>
  </si>
  <si>
    <t>Lucro Bruto p/ Kit:</t>
  </si>
  <si>
    <t>Margem de Lucro:</t>
  </si>
  <si>
    <t>Custo Estatístico (c/ IVA)</t>
  </si>
  <si>
    <t>Custo Estatístico (s/ IVA)</t>
  </si>
  <si>
    <t>HaaS (OPEX)</t>
  </si>
  <si>
    <t>Kit ResQSense (Custo Médio)</t>
  </si>
  <si>
    <t>Para o ResQSense (Kit), a Wearion establece parcerias com fabricantes de EPIs nacionalmente (e a nível europeu) conhecidos. Ao atribuir uma comissão de 15% sobre a venda, a Wearion garante uma penetração de mercado acelerada e preços competitivos, eliminando a necessidade de um elevado CAC (Customer Acquisition Cost).</t>
  </si>
  <si>
    <t>Nota: O Custo Médio do Kit ResQSense é calculado fazendo uma média por cada dispositivo</t>
  </si>
  <si>
    <t xml:space="preserve">A Wearion adota um modelo de negócio B2B Hibrido: A venda inicial do Hardware assegura uma receita imediata (CAPEX) e posteriormente o modelo HaaS garante umfluxo de receita recorrente (OPEX). </t>
  </si>
  <si>
    <t>Margem Bruta</t>
  </si>
  <si>
    <t>Serviço</t>
  </si>
  <si>
    <t>Training Analysis</t>
  </si>
  <si>
    <t>Preventive Maintenance</t>
  </si>
  <si>
    <t>Command App</t>
  </si>
  <si>
    <t>Sincronização em tempo real e armazenamento de dados de alertas na Cloud</t>
  </si>
  <si>
    <t>Armazenamento dos dados completos da missão e relatórios de performance pós-missão.</t>
  </si>
  <si>
    <t>Verificação de integridade dos sensores/baterias e a substituição proativa.</t>
  </si>
  <si>
    <t xml:space="preserve">Licenciamento para monitorização global de múltiplas equipas. </t>
  </si>
  <si>
    <t>Modelo de Negócio e Estrutura de Receitas</t>
  </si>
  <si>
    <t>Custo</t>
  </si>
  <si>
    <t>ResQSense:</t>
  </si>
  <si>
    <t>HaaS (média):</t>
  </si>
  <si>
    <t>Resultado Anual (Base 100 kits):</t>
  </si>
  <si>
    <t>Cumulative Cash Flow</t>
  </si>
  <si>
    <t>Ano</t>
  </si>
  <si>
    <t>Kits Vendidos</t>
  </si>
  <si>
    <t>Lucro Hardware</t>
  </si>
  <si>
    <t>Lucro HaaS</t>
  </si>
  <si>
    <t>Custos</t>
  </si>
  <si>
    <t>Fluxo de Caixa Anual</t>
  </si>
  <si>
    <t>Fluxo Acumulado</t>
  </si>
  <si>
    <t>Basic Data Cloud</t>
  </si>
  <si>
    <t>Lucro ResQSense</t>
  </si>
  <si>
    <t>Temperatura</t>
  </si>
  <si>
    <t>Antena LoRa</t>
  </si>
  <si>
    <t>Conector Antena</t>
  </si>
  <si>
    <t>Bateria Principal</t>
  </si>
  <si>
    <t>Bateria Backup</t>
  </si>
  <si>
    <t>IMU 9 eixos</t>
  </si>
  <si>
    <r>
      <t xml:space="preserve">Para o HaaS, a Wearion pensa em fronecer os seguintes serviços: </t>
    </r>
    <r>
      <rPr>
        <i/>
        <sz val="11"/>
        <color theme="1"/>
        <rFont val="Aptos Narrow"/>
        <family val="2"/>
        <scheme val="minor"/>
      </rPr>
      <t>Basic Data Cloud</t>
    </r>
    <r>
      <rPr>
        <sz val="11"/>
        <color theme="1"/>
        <rFont val="Aptos Narrow"/>
        <family val="2"/>
        <scheme val="minor"/>
      </rPr>
      <t xml:space="preserve">; </t>
    </r>
    <r>
      <rPr>
        <i/>
        <sz val="11"/>
        <color theme="1"/>
        <rFont val="Aptos Narrow"/>
        <family val="2"/>
        <scheme val="minor"/>
      </rPr>
      <t>Training Analysis</t>
    </r>
    <r>
      <rPr>
        <sz val="11"/>
        <color theme="1"/>
        <rFont val="Aptos Narrow"/>
        <family val="2"/>
        <scheme val="minor"/>
      </rPr>
      <t>;</t>
    </r>
    <r>
      <rPr>
        <i/>
        <sz val="11"/>
        <color theme="1"/>
        <rFont val="Aptos Narrow"/>
        <family val="2"/>
        <scheme val="minor"/>
      </rPr>
      <t xml:space="preserve"> Preventive Maintenance</t>
    </r>
    <r>
      <rPr>
        <sz val="11"/>
        <color theme="1"/>
        <rFont val="Aptos Narrow"/>
        <family val="2"/>
        <scheme val="minor"/>
      </rPr>
      <t>;</t>
    </r>
    <r>
      <rPr>
        <i/>
        <sz val="11"/>
        <color theme="1"/>
        <rFont val="Aptos Narrow"/>
        <family val="2"/>
        <scheme val="minor"/>
      </rPr>
      <t xml:space="preserve"> Command App</t>
    </r>
    <r>
      <rPr>
        <sz val="11"/>
        <color theme="1"/>
        <rFont val="Aptos Narrow"/>
        <family val="2"/>
        <scheme val="minor"/>
      </rPr>
      <t>. Para ajudar a reter o cliente, o pacote Basic Data Cloud era oferecido no primeiro ano após a compra.</t>
    </r>
  </si>
  <si>
    <t>Escritório (Renda)</t>
  </si>
  <si>
    <t>Custos de Montagem:</t>
  </si>
  <si>
    <t>Custos de Packaging:</t>
  </si>
  <si>
    <t>Custos de Transporte e Logística:</t>
  </si>
  <si>
    <t>Margem de Erro (5%):</t>
  </si>
  <si>
    <t>CUSTO TOTAL DE 1 KIT:</t>
  </si>
  <si>
    <t xml:space="preserve">Custo Componentes 1 Kit: </t>
  </si>
  <si>
    <t>Água</t>
  </si>
  <si>
    <t>Pessoal (R&amp;D e Gestão)</t>
  </si>
  <si>
    <t>Working Captial</t>
  </si>
  <si>
    <t>Imprevistos</t>
  </si>
  <si>
    <t>Impressora 3D e Ferramentas</t>
  </si>
  <si>
    <t>Deslocações</t>
  </si>
  <si>
    <t>Apoio ao Cliente</t>
  </si>
  <si>
    <t>Montagem</t>
  </si>
  <si>
    <t>Engenheiros Junior</t>
  </si>
  <si>
    <t>(Primeiros Anos) TOTAL:</t>
  </si>
  <si>
    <t>Custo de Produção do Kit</t>
  </si>
  <si>
    <t>Custo Estatístico</t>
  </si>
  <si>
    <t>Preço de Venda p/ano</t>
  </si>
  <si>
    <t>Custo p/ano</t>
  </si>
  <si>
    <t xml:space="preserve"> (Após 3º Ano) TOTAL:</t>
  </si>
  <si>
    <t>Pessoal (Crescimento da Empresa - após o 3º ano)</t>
  </si>
  <si>
    <t>Taxa de Adesão</t>
  </si>
  <si>
    <t>Expandir para o mercado Europeu?</t>
  </si>
  <si>
    <t>Câmera Térmica</t>
  </si>
  <si>
    <t>Salariox1.7x12</t>
  </si>
  <si>
    <t>tecnicos (1ano)</t>
  </si>
  <si>
    <t>IBERIA</t>
  </si>
  <si>
    <t>garantias</t>
  </si>
  <si>
    <t>engenheiros no 3 ou assim</t>
  </si>
  <si>
    <t>Sistemas Vendidos</t>
  </si>
  <si>
    <t>Premium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</si>
</sst>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2"/>
      <color rgb="FFFF0000"/>
      <name val="Aptos Narrow"/>
      <family val="2"/>
      <scheme val="minor"/>
    </font>
    <font>
      <b/>
      <sz val="22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7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right"/>
    </xf>
    <xf numFmtId="164" fontId="2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4" fontId="0" fillId="0" borderId="2" xfId="0" applyNumberFormat="1" applyBorder="1"/>
    <xf numFmtId="0" fontId="1" fillId="0" borderId="1" xfId="0" applyFont="1" applyBorder="1" applyAlignment="1">
      <alignment horizontal="right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/>
    <xf numFmtId="0" fontId="1" fillId="0" borderId="1" xfId="0" applyFont="1" applyBorder="1"/>
    <xf numFmtId="164" fontId="1" fillId="0" borderId="1" xfId="0" applyNumberFormat="1" applyFont="1" applyBorder="1"/>
    <xf numFmtId="0" fontId="1" fillId="0" borderId="0" xfId="0" applyFont="1" applyAlignment="1">
      <alignment horizontal="right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3" fillId="0" borderId="0" xfId="0" applyFont="1"/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9" fontId="0" fillId="0" borderId="1" xfId="2" applyFont="1" applyBorder="1" applyAlignment="1">
      <alignment horizontal="right" vertical="center"/>
    </xf>
    <xf numFmtId="0" fontId="0" fillId="0" borderId="1" xfId="0" applyBorder="1" applyAlignment="1">
      <alignment wrapText="1"/>
    </xf>
    <xf numFmtId="44" fontId="0" fillId="0" borderId="0" xfId="1" applyFont="1"/>
    <xf numFmtId="164" fontId="0" fillId="0" borderId="0" xfId="1" applyNumberFormat="1" applyFont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44" fontId="0" fillId="0" borderId="1" xfId="1" applyFont="1" applyBorder="1"/>
    <xf numFmtId="164" fontId="0" fillId="0" borderId="1" xfId="1" applyNumberFormat="1" applyFont="1" applyBorder="1"/>
    <xf numFmtId="44" fontId="0" fillId="0" borderId="0" xfId="1" applyFont="1" applyBorder="1"/>
    <xf numFmtId="164" fontId="0" fillId="0" borderId="0" xfId="1" applyNumberFormat="1" applyFont="1" applyBorder="1"/>
    <xf numFmtId="0" fontId="0" fillId="0" borderId="0" xfId="0" applyAlignment="1">
      <alignment horizontal="left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right" wrapText="1"/>
    </xf>
    <xf numFmtId="164" fontId="8" fillId="0" borderId="0" xfId="0" applyNumberFormat="1" applyFont="1" applyAlignment="1">
      <alignment horizontal="left"/>
    </xf>
    <xf numFmtId="164" fontId="8" fillId="0" borderId="0" xfId="1" applyNumberFormat="1" applyFont="1" applyAlignment="1">
      <alignment horizontal="left"/>
    </xf>
    <xf numFmtId="0" fontId="13" fillId="0" borderId="0" xfId="0" applyFont="1" applyAlignment="1">
      <alignment horizontal="right"/>
    </xf>
    <xf numFmtId="9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  <xf numFmtId="0" fontId="8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right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3">
    <cellStyle name="Moeda" xfId="1" builtinId="4"/>
    <cellStyle name="Normal" xfId="0" builtinId="0"/>
    <cellStyle name="Percentagem" xfId="2" builtinId="5"/>
  </cellStyles>
  <dxfs count="0"/>
  <tableStyles count="0" defaultTableStyle="TableStyleMedium2" defaultPivotStyle="PivotStyleLight16"/>
  <colors>
    <mruColors>
      <color rgb="FFEE8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Cumulative Cash Flow</a:t>
            </a:r>
          </a:p>
          <a:p>
            <a:pPr>
              <a:defRPr/>
            </a:pP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0.15147365509463956"/>
          <c:y val="0.17346671519932466"/>
          <c:w val="0.84690385640127785"/>
          <c:h val="0.80110500057582024"/>
        </c:manualLayout>
      </c:layout>
      <c:lineChart>
        <c:grouping val="standard"/>
        <c:varyColors val="0"/>
        <c:ser>
          <c:idx val="1"/>
          <c:order val="0"/>
          <c:tx>
            <c:strRef>
              <c:f>'Versão 1'!$H$86</c:f>
              <c:strCache>
                <c:ptCount val="1"/>
                <c:pt idx="0">
                  <c:v>Fluxo Acumulado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'Versão 1'!$B$87:$B$93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'Versão 1'!$H$87:$H$93</c:f>
              <c:numCache>
                <c:formatCode>_("€"* #,##0.00_);_("€"* \(#,##0.00\);_("€"* "-"??_);_(@_)</c:formatCode>
                <c:ptCount val="7"/>
                <c:pt idx="0">
                  <c:v>-50000</c:v>
                </c:pt>
                <c:pt idx="1">
                  <c:v>-864151.11849999998</c:v>
                </c:pt>
                <c:pt idx="2">
                  <c:v>-1580311.3160000001</c:v>
                </c:pt>
                <c:pt idx="3">
                  <c:v>-2076494.2110000001</c:v>
                </c:pt>
                <c:pt idx="4">
                  <c:v>-2132722.5010000002</c:v>
                </c:pt>
                <c:pt idx="5">
                  <c:v>-1479018.8835000002</c:v>
                </c:pt>
                <c:pt idx="6">
                  <c:v>374571.24649999966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C-4064-9834-0353BB744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dash"/>
              <a:round/>
            </a:ln>
            <a:effectLst/>
          </c:spPr>
        </c:dropLines>
        <c:marker val="1"/>
        <c:smooth val="0"/>
        <c:axId val="1576689904"/>
        <c:axId val="1567647312"/>
      </c:lineChart>
      <c:catAx>
        <c:axId val="1576689904"/>
        <c:scaling>
          <c:orientation val="minMax"/>
        </c:scaling>
        <c:delete val="0"/>
        <c:axPos val="b"/>
        <c:numFmt formatCode="&quot;Ano &quot;\ 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67647312"/>
        <c:crosses val="autoZero"/>
        <c:auto val="1"/>
        <c:lblAlgn val="ctr"/>
        <c:lblOffset val="100"/>
        <c:noMultiLvlLbl val="0"/>
      </c:catAx>
      <c:valAx>
        <c:axId val="156764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76689904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'Versão 2'!$H$95</c:f>
              <c:strCache>
                <c:ptCount val="1"/>
                <c:pt idx="0">
                  <c:v>Fluxo Acumulado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'Versão 2'!$B$96:$B$106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'Versão 2'!$H$96:$H$106</c:f>
              <c:numCache>
                <c:formatCode>_("€"* #,##0.00_);_("€"* \(#,##0.00\);_("€"* "-"??_);_(@_)</c:formatCode>
                <c:ptCount val="11"/>
                <c:pt idx="0">
                  <c:v>-50000</c:v>
                </c:pt>
                <c:pt idx="1">
                  <c:v>-649282.76</c:v>
                </c:pt>
                <c:pt idx="2">
                  <c:v>-1162619.6600000001</c:v>
                </c:pt>
                <c:pt idx="3">
                  <c:v>-1669413.4600000002</c:v>
                </c:pt>
                <c:pt idx="4">
                  <c:v>-1996564.1600000001</c:v>
                </c:pt>
                <c:pt idx="5">
                  <c:v>-2116771.7600000002</c:v>
                </c:pt>
                <c:pt idx="6">
                  <c:v>-2002736.2600000002</c:v>
                </c:pt>
                <c:pt idx="7">
                  <c:v>-1638077.6600000001</c:v>
                </c:pt>
                <c:pt idx="8">
                  <c:v>-859532.8600000001</c:v>
                </c:pt>
                <c:pt idx="9">
                  <c:v>387498.1399999999</c:v>
                </c:pt>
                <c:pt idx="10">
                  <c:v>2157615.34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E3-45C1-A0A1-0B61039E4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dash"/>
              <a:round/>
            </a:ln>
            <a:effectLst/>
          </c:spPr>
        </c:dropLines>
        <c:marker val="1"/>
        <c:smooth val="0"/>
        <c:axId val="822078975"/>
        <c:axId val="822078015"/>
      </c:lineChart>
      <c:catAx>
        <c:axId val="822078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22078015"/>
        <c:crosses val="autoZero"/>
        <c:auto val="1"/>
        <c:lblAlgn val="ctr"/>
        <c:lblOffset val="100"/>
        <c:noMultiLvlLbl val="0"/>
      </c:catAx>
      <c:valAx>
        <c:axId val="82207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22078975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'Versão 3'!$H$95</c:f>
              <c:strCache>
                <c:ptCount val="1"/>
                <c:pt idx="0">
                  <c:v>Fluxo Acumulado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'Versão 3'!$B$96:$B$106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'Versão 3'!$H$96:$H$106</c:f>
              <c:numCache>
                <c:formatCode>_("€"* #,##0.00_);_("€"* \(#,##0.00\);_("€"* "-"??_);_(@_)</c:formatCode>
                <c:ptCount val="11"/>
                <c:pt idx="0">
                  <c:v>-50000</c:v>
                </c:pt>
                <c:pt idx="1">
                  <c:v>-297682.76</c:v>
                </c:pt>
                <c:pt idx="2">
                  <c:v>-459419.66000000003</c:v>
                </c:pt>
                <c:pt idx="3">
                  <c:v>-711813.46</c:v>
                </c:pt>
                <c:pt idx="4">
                  <c:v>-784564.15999999992</c:v>
                </c:pt>
                <c:pt idx="5">
                  <c:v>-650371.75999999989</c:v>
                </c:pt>
                <c:pt idx="6">
                  <c:v>-281936.25999999989</c:v>
                </c:pt>
                <c:pt idx="7">
                  <c:v>337122.3400000002</c:v>
                </c:pt>
                <c:pt idx="8">
                  <c:v>1370067.1400000001</c:v>
                </c:pt>
                <c:pt idx="9">
                  <c:v>2871498.14</c:v>
                </c:pt>
                <c:pt idx="10">
                  <c:v>4896015.34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DA-4B65-BFFB-25EB85A5A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dash"/>
              <a:round/>
            </a:ln>
            <a:effectLst/>
          </c:spPr>
        </c:dropLines>
        <c:marker val="1"/>
        <c:smooth val="0"/>
        <c:axId val="822078975"/>
        <c:axId val="822078015"/>
      </c:lineChart>
      <c:catAx>
        <c:axId val="822078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22078015"/>
        <c:crosses val="autoZero"/>
        <c:auto val="1"/>
        <c:lblAlgn val="ctr"/>
        <c:lblOffset val="100"/>
        <c:noMultiLvlLbl val="0"/>
      </c:catAx>
      <c:valAx>
        <c:axId val="82207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22078975"/>
        <c:crosses val="autoZero"/>
        <c:crossBetween val="between"/>
        <c:dispUnits>
          <c:builtInUnit val="thousand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Milhares €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</c:dispUnitsLbl>
        </c:dispUnits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Fluxo Acumulado e</a:t>
            </a:r>
            <a:r>
              <a:rPr lang="pt-PT" baseline="0"/>
              <a:t> Nº de Sistemas Vendidos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'Versão 3'!$C$95</c:f>
              <c:strCache>
                <c:ptCount val="1"/>
                <c:pt idx="0">
                  <c:v>Sistemas Vendidos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'Versão 3'!$B$96:$B$103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'Versão 3'!$C$96:$C$103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  <c:pt idx="6">
                  <c:v>125</c:v>
                </c:pt>
                <c:pt idx="7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8D-4E3A-A1DA-B0D3851D0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34321615"/>
        <c:axId val="73433313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'Versão 3'!$B$95</c15:sqref>
                        </c15:formulaRef>
                      </c:ext>
                    </c:extLst>
                    <c:strCache>
                      <c:ptCount val="1"/>
                      <c:pt idx="0">
                        <c:v>Ano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'Versão 3'!$B$96:$B$103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'Versão 3'!$B$96:$B$103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2F8D-4E3A-A1DA-B0D3851D012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'Versão 3'!$H$95</c:f>
              <c:strCache>
                <c:ptCount val="1"/>
                <c:pt idx="0">
                  <c:v>Fluxo Acumulado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'Versão 3'!$B$96:$B$103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'Versão 3'!$H$96:$H$103</c:f>
              <c:numCache>
                <c:formatCode>_("€"* #,##0.00_);_("€"* \(#,##0.00\);_("€"* "-"??_);_(@_)</c:formatCode>
                <c:ptCount val="8"/>
                <c:pt idx="0">
                  <c:v>-50000</c:v>
                </c:pt>
                <c:pt idx="1">
                  <c:v>-297682.76</c:v>
                </c:pt>
                <c:pt idx="2">
                  <c:v>-459419.66000000003</c:v>
                </c:pt>
                <c:pt idx="3">
                  <c:v>-711813.46</c:v>
                </c:pt>
                <c:pt idx="4">
                  <c:v>-784564.15999999992</c:v>
                </c:pt>
                <c:pt idx="5">
                  <c:v>-650371.75999999989</c:v>
                </c:pt>
                <c:pt idx="6">
                  <c:v>-281936.25999999989</c:v>
                </c:pt>
                <c:pt idx="7">
                  <c:v>337122.3400000002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8D-4E3A-A1DA-B0D3851D0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4326415"/>
        <c:axId val="734329295"/>
      </c:lineChart>
      <c:catAx>
        <c:axId val="734326415"/>
        <c:scaling>
          <c:orientation val="minMax"/>
        </c:scaling>
        <c:delete val="0"/>
        <c:axPos val="b"/>
        <c:numFmt formatCode="&quot;Ano &quot;\ 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34329295"/>
        <c:crosses val="autoZero"/>
        <c:auto val="1"/>
        <c:lblAlgn val="ctr"/>
        <c:lblOffset val="100"/>
        <c:noMultiLvlLbl val="0"/>
      </c:catAx>
      <c:valAx>
        <c:axId val="73432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34326415"/>
        <c:crosses val="autoZero"/>
        <c:crossBetween val="between"/>
        <c:dispUnits>
          <c:builtInUnit val="thousand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pt-PT"/>
                    <a:t>Milhares €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</c:dispUnitsLbl>
        </c:dispUnits>
      </c:valAx>
      <c:valAx>
        <c:axId val="73433313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34321615"/>
        <c:crosses val="max"/>
        <c:crossBetween val="between"/>
      </c:valAx>
      <c:catAx>
        <c:axId val="7343216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343331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12104</xdr:colOff>
      <xdr:row>95</xdr:row>
      <xdr:rowOff>104997</xdr:rowOff>
    </xdr:from>
    <xdr:to>
      <xdr:col>6</xdr:col>
      <xdr:colOff>798549</xdr:colOff>
      <xdr:row>114</xdr:row>
      <xdr:rowOff>142350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BE68282-D5C8-294E-87BF-91599262C6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216648</xdr:colOff>
      <xdr:row>107</xdr:row>
      <xdr:rowOff>100105</xdr:rowOff>
    </xdr:from>
    <xdr:to>
      <xdr:col>6</xdr:col>
      <xdr:colOff>933824</xdr:colOff>
      <xdr:row>125</xdr:row>
      <xdr:rowOff>97118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EA43761-7B93-D3C4-F3C6-9DD8846A9E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216648</xdr:colOff>
      <xdr:row>107</xdr:row>
      <xdr:rowOff>100105</xdr:rowOff>
    </xdr:from>
    <xdr:to>
      <xdr:col>6</xdr:col>
      <xdr:colOff>933824</xdr:colOff>
      <xdr:row>125</xdr:row>
      <xdr:rowOff>97118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97BF2F7-0094-4954-ABBA-B9621DC3A9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574432</xdr:colOff>
      <xdr:row>107</xdr:row>
      <xdr:rowOff>93742</xdr:rowOff>
    </xdr:from>
    <xdr:to>
      <xdr:col>14</xdr:col>
      <xdr:colOff>605465</xdr:colOff>
      <xdr:row>129</xdr:row>
      <xdr:rowOff>177209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4DB509F-413B-8F5C-FF21-A8A71DD656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55F88-9056-4735-938F-9BB7B8BEC89B}">
  <dimension ref="B2:L93"/>
  <sheetViews>
    <sheetView topLeftCell="A91" zoomScale="85" zoomScaleNormal="85" workbookViewId="0">
      <selection activeCell="C93" sqref="C93"/>
    </sheetView>
  </sheetViews>
  <sheetFormatPr defaultRowHeight="14.5" x14ac:dyDescent="0.35"/>
  <cols>
    <col min="2" max="2" width="28.54296875" customWidth="1"/>
    <col min="3" max="3" width="24.54296875" customWidth="1"/>
    <col min="4" max="4" width="16.90625" customWidth="1"/>
    <col min="5" max="5" width="17.1796875" customWidth="1"/>
    <col min="6" max="6" width="12.54296875" customWidth="1"/>
    <col min="7" max="7" width="17" customWidth="1"/>
    <col min="8" max="8" width="28.54296875" customWidth="1"/>
    <col min="9" max="9" width="20.36328125" customWidth="1"/>
    <col min="10" max="10" width="16.36328125" customWidth="1"/>
    <col min="11" max="11" width="12.1796875" customWidth="1"/>
  </cols>
  <sheetData>
    <row r="2" spans="2:12" ht="28.5" x14ac:dyDescent="0.65">
      <c r="B2" s="64" t="s">
        <v>69</v>
      </c>
      <c r="C2" s="64"/>
      <c r="D2" s="64"/>
      <c r="E2" s="64"/>
      <c r="F2" s="64"/>
      <c r="G2" s="64"/>
      <c r="H2" s="64"/>
      <c r="I2" s="64"/>
      <c r="J2" s="64"/>
      <c r="K2" s="64"/>
      <c r="L2" s="64"/>
    </row>
    <row r="3" spans="2:12" ht="21" x14ac:dyDescent="0.5">
      <c r="B3" s="72" t="s">
        <v>49</v>
      </c>
      <c r="C3" s="72"/>
      <c r="D3" s="72"/>
      <c r="E3" s="72"/>
      <c r="F3" s="72"/>
      <c r="H3" s="72" t="s">
        <v>48</v>
      </c>
      <c r="I3" s="72"/>
      <c r="J3" s="72"/>
      <c r="K3" s="72"/>
      <c r="L3" s="72"/>
    </row>
    <row r="4" spans="2:12" ht="15" thickBot="1" x14ac:dyDescent="0.4">
      <c r="B4" s="4" t="s">
        <v>43</v>
      </c>
      <c r="C4" s="4" t="s">
        <v>39</v>
      </c>
      <c r="D4" s="4" t="s">
        <v>40</v>
      </c>
      <c r="E4" s="4" t="s">
        <v>41</v>
      </c>
      <c r="F4" s="4" t="s">
        <v>42</v>
      </c>
      <c r="H4" s="4" t="s">
        <v>43</v>
      </c>
      <c r="I4" s="4" t="s">
        <v>39</v>
      </c>
      <c r="J4" s="4" t="s">
        <v>40</v>
      </c>
      <c r="K4" s="4" t="s">
        <v>41</v>
      </c>
      <c r="L4" s="4" t="s">
        <v>42</v>
      </c>
    </row>
    <row r="5" spans="2:12" x14ac:dyDescent="0.35">
      <c r="B5" t="s">
        <v>33</v>
      </c>
      <c r="C5" t="s">
        <v>21</v>
      </c>
      <c r="D5" s="1" t="s">
        <v>22</v>
      </c>
      <c r="E5" s="1">
        <v>1</v>
      </c>
      <c r="F5" s="3">
        <v>11.9</v>
      </c>
      <c r="I5" t="s">
        <v>47</v>
      </c>
      <c r="J5" s="1" t="s">
        <v>22</v>
      </c>
      <c r="K5" s="1">
        <v>1</v>
      </c>
      <c r="L5" s="3">
        <v>39.86</v>
      </c>
    </row>
    <row r="6" spans="2:12" x14ac:dyDescent="0.35">
      <c r="C6" t="s">
        <v>0</v>
      </c>
      <c r="D6" s="1" t="s">
        <v>136</v>
      </c>
      <c r="E6" s="1">
        <v>3</v>
      </c>
      <c r="F6" s="3">
        <v>9.86</v>
      </c>
      <c r="H6" t="s">
        <v>88</v>
      </c>
      <c r="I6" t="s">
        <v>50</v>
      </c>
      <c r="J6" s="1" t="s">
        <v>51</v>
      </c>
      <c r="K6" s="1">
        <v>1</v>
      </c>
      <c r="L6" s="3">
        <v>66.900000000000006</v>
      </c>
    </row>
    <row r="7" spans="2:12" x14ac:dyDescent="0.35">
      <c r="B7" t="s">
        <v>34</v>
      </c>
      <c r="C7" t="s">
        <v>1</v>
      </c>
      <c r="D7" s="1" t="s">
        <v>5</v>
      </c>
      <c r="E7" s="1">
        <v>1</v>
      </c>
      <c r="F7" s="3">
        <v>13.58</v>
      </c>
      <c r="I7" t="s">
        <v>57</v>
      </c>
      <c r="J7" s="1" t="s">
        <v>141</v>
      </c>
      <c r="K7" s="1">
        <v>1</v>
      </c>
      <c r="L7" s="3">
        <v>24.95</v>
      </c>
    </row>
    <row r="8" spans="2:12" x14ac:dyDescent="0.35">
      <c r="C8" t="s">
        <v>4</v>
      </c>
      <c r="D8" s="1" t="s">
        <v>7</v>
      </c>
      <c r="E8" s="1">
        <v>1</v>
      </c>
      <c r="F8" s="3">
        <v>8.6999999999999993</v>
      </c>
      <c r="I8" t="s">
        <v>25</v>
      </c>
      <c r="J8" s="1" t="s">
        <v>137</v>
      </c>
      <c r="K8" s="1">
        <v>1</v>
      </c>
      <c r="L8" s="3">
        <v>6.67</v>
      </c>
    </row>
    <row r="9" spans="2:12" x14ac:dyDescent="0.35">
      <c r="C9" t="s">
        <v>2</v>
      </c>
      <c r="D9" s="1" t="s">
        <v>8</v>
      </c>
      <c r="E9" s="1">
        <v>1</v>
      </c>
      <c r="F9" s="3">
        <v>22.11</v>
      </c>
      <c r="I9" t="s">
        <v>11</v>
      </c>
      <c r="J9" s="1" t="s">
        <v>138</v>
      </c>
      <c r="K9" s="1">
        <v>1</v>
      </c>
      <c r="L9" s="3">
        <v>1.05</v>
      </c>
    </row>
    <row r="10" spans="2:12" x14ac:dyDescent="0.35">
      <c r="C10" t="s">
        <v>6</v>
      </c>
      <c r="D10" s="1" t="s">
        <v>9</v>
      </c>
      <c r="E10" s="1">
        <v>1</v>
      </c>
      <c r="F10" s="3">
        <v>23.11</v>
      </c>
      <c r="I10" t="s">
        <v>16</v>
      </c>
      <c r="J10" s="1" t="s">
        <v>10</v>
      </c>
      <c r="K10" s="1">
        <v>1</v>
      </c>
      <c r="L10" s="3">
        <v>19.95</v>
      </c>
    </row>
    <row r="11" spans="2:12" x14ac:dyDescent="0.35">
      <c r="C11" t="s">
        <v>25</v>
      </c>
      <c r="D11" s="1" t="s">
        <v>137</v>
      </c>
      <c r="E11" s="1">
        <v>1</v>
      </c>
      <c r="F11" s="3">
        <v>6.67</v>
      </c>
      <c r="I11" t="s">
        <v>52</v>
      </c>
      <c r="J11" s="1" t="s">
        <v>28</v>
      </c>
      <c r="K11" s="1">
        <v>1</v>
      </c>
      <c r="L11" s="3">
        <v>8.5</v>
      </c>
    </row>
    <row r="12" spans="2:12" x14ac:dyDescent="0.35">
      <c r="C12" t="s">
        <v>11</v>
      </c>
      <c r="D12" s="1" t="s">
        <v>138</v>
      </c>
      <c r="E12" s="1">
        <v>1</v>
      </c>
      <c r="F12" s="3">
        <v>1.05</v>
      </c>
      <c r="I12" t="s">
        <v>53</v>
      </c>
      <c r="J12" s="1" t="s">
        <v>56</v>
      </c>
      <c r="K12" s="1">
        <v>1</v>
      </c>
      <c r="L12" s="3">
        <v>0.05</v>
      </c>
    </row>
    <row r="13" spans="2:12" x14ac:dyDescent="0.35">
      <c r="C13" t="s">
        <v>16</v>
      </c>
      <c r="D13" s="1" t="s">
        <v>10</v>
      </c>
      <c r="E13" s="1">
        <v>1</v>
      </c>
      <c r="F13" s="3">
        <v>19.95</v>
      </c>
      <c r="I13" t="s">
        <v>54</v>
      </c>
      <c r="J13" s="1" t="s">
        <v>55</v>
      </c>
      <c r="K13" s="1">
        <v>1</v>
      </c>
      <c r="L13" s="3">
        <v>0.05</v>
      </c>
    </row>
    <row r="14" spans="2:12" x14ac:dyDescent="0.35">
      <c r="C14" t="s">
        <v>3</v>
      </c>
      <c r="D14" s="1" t="s">
        <v>12</v>
      </c>
      <c r="E14" s="1">
        <v>1</v>
      </c>
      <c r="F14" s="3">
        <v>12.4</v>
      </c>
      <c r="I14" t="s">
        <v>60</v>
      </c>
      <c r="J14" s="1" t="s">
        <v>60</v>
      </c>
      <c r="K14" s="1">
        <v>1</v>
      </c>
      <c r="L14" s="3">
        <v>1.5</v>
      </c>
    </row>
    <row r="15" spans="2:12" x14ac:dyDescent="0.35">
      <c r="C15" t="s">
        <v>13</v>
      </c>
      <c r="D15" s="1" t="s">
        <v>18</v>
      </c>
      <c r="E15" s="1">
        <v>1</v>
      </c>
      <c r="F15" s="3">
        <v>0.33</v>
      </c>
      <c r="I15" t="s">
        <v>66</v>
      </c>
      <c r="J15" s="1" t="s">
        <v>64</v>
      </c>
      <c r="K15" s="1">
        <v>1</v>
      </c>
      <c r="L15" s="3">
        <v>35</v>
      </c>
    </row>
    <row r="16" spans="2:12" x14ac:dyDescent="0.35">
      <c r="C16" t="s">
        <v>14</v>
      </c>
      <c r="D16" s="1" t="s">
        <v>19</v>
      </c>
      <c r="E16" s="1">
        <v>1</v>
      </c>
      <c r="F16" s="3">
        <v>2.64</v>
      </c>
      <c r="I16" t="s">
        <v>62</v>
      </c>
      <c r="J16" s="1" t="s">
        <v>63</v>
      </c>
      <c r="K16" s="1">
        <v>1</v>
      </c>
      <c r="L16" s="3">
        <v>10</v>
      </c>
    </row>
    <row r="17" spans="2:12" x14ac:dyDescent="0.35">
      <c r="C17" t="s">
        <v>15</v>
      </c>
      <c r="D17" s="1" t="s">
        <v>20</v>
      </c>
      <c r="E17" s="1">
        <v>1</v>
      </c>
      <c r="F17" s="3">
        <v>0.32</v>
      </c>
      <c r="I17" t="s">
        <v>58</v>
      </c>
      <c r="J17" s="1" t="s">
        <v>59</v>
      </c>
      <c r="K17" s="1">
        <v>1</v>
      </c>
      <c r="L17" s="3">
        <v>15</v>
      </c>
    </row>
    <row r="18" spans="2:12" x14ac:dyDescent="0.35">
      <c r="B18" t="s">
        <v>35</v>
      </c>
      <c r="C18" t="s">
        <v>17</v>
      </c>
      <c r="D18" s="1" t="s">
        <v>23</v>
      </c>
      <c r="E18" s="1">
        <v>1</v>
      </c>
      <c r="F18" s="3">
        <v>5.95</v>
      </c>
      <c r="H18" t="s">
        <v>38</v>
      </c>
      <c r="I18" t="s">
        <v>26</v>
      </c>
      <c r="J18" s="1" t="s">
        <v>28</v>
      </c>
      <c r="K18" s="1">
        <v>1</v>
      </c>
      <c r="L18" s="3">
        <v>5</v>
      </c>
    </row>
    <row r="19" spans="2:12" x14ac:dyDescent="0.35">
      <c r="B19" t="s">
        <v>37</v>
      </c>
      <c r="C19" t="s">
        <v>61</v>
      </c>
      <c r="D19" s="1" t="s">
        <v>139</v>
      </c>
      <c r="E19" s="1">
        <v>1</v>
      </c>
      <c r="F19" s="3">
        <v>10</v>
      </c>
      <c r="H19" t="s">
        <v>38</v>
      </c>
      <c r="I19" t="s">
        <v>27</v>
      </c>
      <c r="J19" s="1" t="s">
        <v>28</v>
      </c>
      <c r="K19" s="1">
        <v>1</v>
      </c>
      <c r="L19" s="3">
        <v>8</v>
      </c>
    </row>
    <row r="20" spans="2:12" x14ac:dyDescent="0.35">
      <c r="B20" t="s">
        <v>36</v>
      </c>
      <c r="C20" t="s">
        <v>24</v>
      </c>
      <c r="D20" s="1" t="s">
        <v>140</v>
      </c>
      <c r="E20" s="1">
        <v>1</v>
      </c>
      <c r="F20" s="3">
        <v>6.4</v>
      </c>
      <c r="H20" t="s">
        <v>46</v>
      </c>
      <c r="I20" t="s">
        <v>31</v>
      </c>
      <c r="J20" s="1" t="s">
        <v>28</v>
      </c>
      <c r="K20" s="1">
        <v>1</v>
      </c>
      <c r="L20" s="3">
        <v>5</v>
      </c>
    </row>
    <row r="21" spans="2:12" ht="15" thickBot="1" x14ac:dyDescent="0.4">
      <c r="C21" t="s">
        <v>29</v>
      </c>
      <c r="D21" s="1" t="s">
        <v>30</v>
      </c>
      <c r="E21" s="1">
        <v>2</v>
      </c>
      <c r="F21" s="3">
        <v>0.68</v>
      </c>
      <c r="H21" s="13"/>
      <c r="I21" s="13" t="s">
        <v>44</v>
      </c>
      <c r="J21" s="12" t="s">
        <v>28</v>
      </c>
      <c r="K21" s="12">
        <v>1</v>
      </c>
      <c r="L21" s="17">
        <v>20</v>
      </c>
    </row>
    <row r="22" spans="2:12" ht="15" thickBot="1" x14ac:dyDescent="0.4">
      <c r="B22" t="s">
        <v>38</v>
      </c>
      <c r="C22" t="s">
        <v>26</v>
      </c>
      <c r="D22" s="1" t="s">
        <v>28</v>
      </c>
      <c r="E22" s="1">
        <v>1</v>
      </c>
      <c r="F22" s="3">
        <v>5</v>
      </c>
      <c r="H22" s="73" t="s">
        <v>32</v>
      </c>
      <c r="I22" s="73"/>
      <c r="J22" s="73"/>
      <c r="K22" s="73"/>
      <c r="L22" s="14">
        <f>SUM(L5:L21)</f>
        <v>267.48</v>
      </c>
    </row>
    <row r="23" spans="2:12" x14ac:dyDescent="0.35">
      <c r="B23" t="s">
        <v>38</v>
      </c>
      <c r="C23" t="s">
        <v>27</v>
      </c>
      <c r="D23" s="1" t="s">
        <v>28</v>
      </c>
      <c r="E23" s="1">
        <v>1</v>
      </c>
      <c r="F23" s="3">
        <v>8</v>
      </c>
    </row>
    <row r="24" spans="2:12" x14ac:dyDescent="0.35">
      <c r="B24" t="s">
        <v>46</v>
      </c>
      <c r="C24" t="s">
        <v>31</v>
      </c>
      <c r="D24" s="1" t="s">
        <v>28</v>
      </c>
      <c r="E24" s="1">
        <v>5</v>
      </c>
      <c r="F24" s="3">
        <v>5</v>
      </c>
    </row>
    <row r="25" spans="2:12" x14ac:dyDescent="0.35">
      <c r="C25" t="s">
        <v>44</v>
      </c>
      <c r="D25" s="1" t="s">
        <v>28</v>
      </c>
      <c r="E25" s="1">
        <v>1</v>
      </c>
      <c r="F25" s="3">
        <v>20</v>
      </c>
    </row>
    <row r="26" spans="2:12" ht="15" thickBot="1" x14ac:dyDescent="0.4">
      <c r="B26" s="13"/>
      <c r="C26" s="13" t="s">
        <v>45</v>
      </c>
      <c r="D26" s="12" t="s">
        <v>28</v>
      </c>
      <c r="E26" s="12">
        <v>1</v>
      </c>
      <c r="F26" s="17">
        <v>50</v>
      </c>
    </row>
    <row r="27" spans="2:12" ht="15" thickBot="1" x14ac:dyDescent="0.4">
      <c r="B27" s="73" t="s">
        <v>32</v>
      </c>
      <c r="C27" s="73"/>
      <c r="D27" s="73"/>
      <c r="E27" s="73"/>
      <c r="F27" s="14">
        <f>SUMPRODUCT(E5:E26,F5:F26)</f>
        <v>284.04999999999995</v>
      </c>
    </row>
    <row r="29" spans="2:12" x14ac:dyDescent="0.35">
      <c r="B29" s="76" t="s">
        <v>67</v>
      </c>
      <c r="C29" s="76"/>
    </row>
    <row r="30" spans="2:12" ht="21" x14ac:dyDescent="0.5">
      <c r="B30" s="5" t="s">
        <v>65</v>
      </c>
      <c r="C30" s="6">
        <f>SUM(5*F27,L22)</f>
        <v>1687.7299999999998</v>
      </c>
    </row>
    <row r="31" spans="2:12" ht="21" x14ac:dyDescent="0.5">
      <c r="B31" s="11" t="s">
        <v>96</v>
      </c>
      <c r="C31" s="6">
        <f>PRODUCT(C30,1.23)</f>
        <v>2075.9078999999997</v>
      </c>
    </row>
    <row r="33" spans="2:12" ht="28.5" x14ac:dyDescent="0.65">
      <c r="B33" s="64" t="s">
        <v>68</v>
      </c>
      <c r="C33" s="64"/>
      <c r="D33" s="64"/>
      <c r="E33" s="64"/>
      <c r="F33" s="64"/>
      <c r="G33" s="64"/>
      <c r="H33" s="64"/>
      <c r="I33" s="64"/>
      <c r="J33" s="64"/>
      <c r="K33" s="64"/>
      <c r="L33" s="64"/>
    </row>
    <row r="34" spans="2:12" ht="15" thickBot="1" x14ac:dyDescent="0.4">
      <c r="B34" s="4" t="s">
        <v>81</v>
      </c>
      <c r="C34" s="4" t="s">
        <v>82</v>
      </c>
      <c r="D34" s="4" t="s">
        <v>41</v>
      </c>
      <c r="E34" s="4" t="s">
        <v>79</v>
      </c>
    </row>
    <row r="35" spans="2:12" ht="15" thickBot="1" x14ac:dyDescent="0.4">
      <c r="B35" s="65" t="s">
        <v>70</v>
      </c>
      <c r="C35" s="65"/>
      <c r="D35" s="65"/>
      <c r="E35" s="65"/>
    </row>
    <row r="36" spans="2:12" x14ac:dyDescent="0.35">
      <c r="B36" t="s">
        <v>76</v>
      </c>
      <c r="C36" s="1" t="s">
        <v>78</v>
      </c>
      <c r="D36" s="1">
        <v>1</v>
      </c>
      <c r="E36" s="2">
        <v>600</v>
      </c>
    </row>
    <row r="37" spans="2:12" x14ac:dyDescent="0.35">
      <c r="B37" t="s">
        <v>71</v>
      </c>
      <c r="C37" s="1" t="s">
        <v>78</v>
      </c>
      <c r="D37" s="1">
        <v>1</v>
      </c>
      <c r="E37" s="2">
        <v>2400</v>
      </c>
    </row>
    <row r="38" spans="2:12" x14ac:dyDescent="0.35">
      <c r="B38" t="s">
        <v>77</v>
      </c>
      <c r="C38" s="1" t="s">
        <v>78</v>
      </c>
      <c r="D38" s="1">
        <v>1</v>
      </c>
      <c r="E38" s="2">
        <v>400</v>
      </c>
    </row>
    <row r="39" spans="2:12" x14ac:dyDescent="0.35">
      <c r="B39" t="s">
        <v>143</v>
      </c>
      <c r="C39" s="1" t="s">
        <v>78</v>
      </c>
      <c r="D39" s="1">
        <v>1</v>
      </c>
      <c r="E39" s="2">
        <v>15000</v>
      </c>
    </row>
    <row r="40" spans="2:12" x14ac:dyDescent="0.35">
      <c r="B40" t="s">
        <v>83</v>
      </c>
      <c r="C40" s="1" t="s">
        <v>78</v>
      </c>
      <c r="D40" s="1">
        <v>1</v>
      </c>
      <c r="E40" s="2">
        <v>1200</v>
      </c>
    </row>
    <row r="41" spans="2:12" x14ac:dyDescent="0.35">
      <c r="B41" t="s">
        <v>87</v>
      </c>
      <c r="C41" s="1" t="s">
        <v>78</v>
      </c>
      <c r="D41" s="1">
        <v>1</v>
      </c>
      <c r="E41" s="2">
        <v>3500</v>
      </c>
    </row>
    <row r="42" spans="2:12" ht="15" thickBot="1" x14ac:dyDescent="0.4">
      <c r="B42" s="13"/>
      <c r="C42" s="13"/>
      <c r="D42" s="13"/>
      <c r="E42" s="14"/>
    </row>
    <row r="43" spans="2:12" ht="15" thickBot="1" x14ac:dyDescent="0.4">
      <c r="B43" s="66" t="s">
        <v>80</v>
      </c>
      <c r="C43" s="66"/>
      <c r="D43" s="66"/>
      <c r="E43" s="66"/>
    </row>
    <row r="44" spans="2:12" x14ac:dyDescent="0.35">
      <c r="B44" t="s">
        <v>72</v>
      </c>
      <c r="C44" s="1" t="s">
        <v>78</v>
      </c>
      <c r="D44" s="1">
        <v>8</v>
      </c>
      <c r="E44" s="2">
        <f>PRODUCT(42000,1.2375)</f>
        <v>51975</v>
      </c>
    </row>
    <row r="45" spans="2:12" x14ac:dyDescent="0.35">
      <c r="B45" t="s">
        <v>73</v>
      </c>
      <c r="C45" s="1" t="s">
        <v>78</v>
      </c>
      <c r="D45" s="1">
        <v>3</v>
      </c>
      <c r="E45" s="2">
        <f>PRODUCT(58000,1.2375)</f>
        <v>71775</v>
      </c>
    </row>
    <row r="46" spans="2:12" x14ac:dyDescent="0.35">
      <c r="B46" t="s">
        <v>74</v>
      </c>
      <c r="C46" s="1" t="s">
        <v>78</v>
      </c>
      <c r="D46" s="1">
        <v>1</v>
      </c>
      <c r="E46" s="2">
        <f>PRODUCT(62000,1.2375)</f>
        <v>76725</v>
      </c>
    </row>
    <row r="47" spans="2:12" x14ac:dyDescent="0.35">
      <c r="B47" t="s">
        <v>75</v>
      </c>
      <c r="C47" s="1" t="s">
        <v>78</v>
      </c>
      <c r="D47" s="1">
        <v>1</v>
      </c>
      <c r="E47" s="2">
        <f>PRODUCT(85000,1.2375)</f>
        <v>105187.5</v>
      </c>
    </row>
    <row r="48" spans="2:12" ht="15" thickBot="1" x14ac:dyDescent="0.4">
      <c r="B48" s="13"/>
      <c r="C48" s="13"/>
      <c r="D48" s="13"/>
      <c r="E48" s="13"/>
    </row>
    <row r="49" spans="2:12" ht="15" thickBot="1" x14ac:dyDescent="0.4">
      <c r="B49" s="66" t="s">
        <v>84</v>
      </c>
      <c r="C49" s="66"/>
      <c r="D49" s="66"/>
      <c r="E49" s="66"/>
    </row>
    <row r="50" spans="2:12" x14ac:dyDescent="0.35">
      <c r="B50" t="s">
        <v>85</v>
      </c>
      <c r="C50" s="1" t="s">
        <v>78</v>
      </c>
      <c r="D50" s="1">
        <v>1</v>
      </c>
      <c r="E50" s="2">
        <v>70000</v>
      </c>
    </row>
    <row r="51" spans="2:12" ht="15" thickBot="1" x14ac:dyDescent="0.4">
      <c r="B51" s="13" t="s">
        <v>86</v>
      </c>
      <c r="C51" s="12" t="s">
        <v>78</v>
      </c>
      <c r="D51" s="12">
        <v>1</v>
      </c>
      <c r="E51" s="14">
        <v>10000</v>
      </c>
    </row>
    <row r="52" spans="2:12" ht="15" thickBot="1" x14ac:dyDescent="0.4">
      <c r="B52" s="67" t="s">
        <v>32</v>
      </c>
      <c r="C52" s="67"/>
      <c r="D52" s="67"/>
      <c r="E52" s="15">
        <f>SUMPRODUCT(D36:D41,E36:E41) + SUMPRODUCT(D44:D47,E44:E47) + SUMPRODUCT(D50:D51,E50:E51)</f>
        <v>916137.5</v>
      </c>
    </row>
    <row r="53" spans="2:12" x14ac:dyDescent="0.35">
      <c r="E53" s="2"/>
    </row>
    <row r="55" spans="2:12" ht="28.5" x14ac:dyDescent="0.65">
      <c r="B55" s="68" t="s">
        <v>121</v>
      </c>
      <c r="C55" s="68"/>
      <c r="D55" s="68"/>
      <c r="E55" s="68"/>
      <c r="F55" s="68"/>
      <c r="G55" s="68"/>
      <c r="H55" s="68"/>
      <c r="I55" s="68"/>
      <c r="J55" s="68"/>
      <c r="K55" s="68"/>
      <c r="L55" s="68"/>
    </row>
    <row r="56" spans="2:12" ht="21" x14ac:dyDescent="0.5">
      <c r="B56" s="30" t="s">
        <v>89</v>
      </c>
    </row>
    <row r="57" spans="2:12" ht="17" customHeight="1" x14ac:dyDescent="0.35">
      <c r="B57" s="69" t="s">
        <v>111</v>
      </c>
      <c r="C57" s="69"/>
      <c r="D57" s="69"/>
      <c r="E57" s="69"/>
      <c r="F57" s="69"/>
      <c r="G57" s="69"/>
      <c r="H57" s="69"/>
      <c r="I57" s="69"/>
      <c r="J57" s="69"/>
      <c r="K57" s="69"/>
      <c r="L57" s="69"/>
    </row>
    <row r="58" spans="2:12" ht="32" customHeight="1" x14ac:dyDescent="0.35">
      <c r="B58" s="9" t="s">
        <v>90</v>
      </c>
      <c r="C58" s="62" t="s">
        <v>109</v>
      </c>
      <c r="D58" s="62"/>
      <c r="E58" s="62"/>
      <c r="F58" s="62"/>
      <c r="G58" s="62"/>
      <c r="H58" s="62"/>
      <c r="I58" s="62"/>
      <c r="J58" s="62"/>
      <c r="K58" s="62"/>
      <c r="L58" s="62"/>
    </row>
    <row r="60" spans="2:12" ht="18.5" x14ac:dyDescent="0.45">
      <c r="C60" s="70" t="s">
        <v>135</v>
      </c>
      <c r="D60" s="70"/>
    </row>
    <row r="61" spans="2:12" ht="19" thickBot="1" x14ac:dyDescent="0.4">
      <c r="C61" s="4" t="s">
        <v>95</v>
      </c>
      <c r="D61" s="4" t="s">
        <v>79</v>
      </c>
      <c r="H61" s="63" t="s">
        <v>99</v>
      </c>
      <c r="I61" s="63"/>
      <c r="J61" s="63"/>
    </row>
    <row r="62" spans="2:12" ht="29.5" thickBot="1" x14ac:dyDescent="0.4">
      <c r="C62" s="24" t="s">
        <v>97</v>
      </c>
      <c r="D62" s="23">
        <f>C31</f>
        <v>2075.9078999999997</v>
      </c>
      <c r="H62" s="27" t="s">
        <v>98</v>
      </c>
      <c r="I62" s="28" t="s">
        <v>106</v>
      </c>
      <c r="J62" s="29" t="s">
        <v>105</v>
      </c>
    </row>
    <row r="63" spans="2:12" x14ac:dyDescent="0.35">
      <c r="C63" s="24" t="s">
        <v>92</v>
      </c>
      <c r="D63" s="23">
        <v>9500</v>
      </c>
      <c r="H63" t="s">
        <v>100</v>
      </c>
      <c r="I63" s="2">
        <v>927</v>
      </c>
      <c r="J63" s="2">
        <f>PRODUCT(I63,1.23)</f>
        <v>1140.21</v>
      </c>
    </row>
    <row r="64" spans="2:12" ht="14.5" customHeight="1" x14ac:dyDescent="0.35">
      <c r="C64" s="24" t="s">
        <v>93</v>
      </c>
      <c r="D64" s="23">
        <f>PRODUCT(D63,-0.15)</f>
        <v>-1425</v>
      </c>
      <c r="H64" s="22" t="s">
        <v>101</v>
      </c>
      <c r="I64" s="23">
        <v>1057</v>
      </c>
      <c r="J64" s="23">
        <f t="shared" ref="J64:J65" si="0">PRODUCT(I64,1.23)</f>
        <v>1300.1099999999999</v>
      </c>
    </row>
    <row r="65" spans="2:12" ht="14.5" customHeight="1" thickBot="1" x14ac:dyDescent="0.4">
      <c r="C65" s="25" t="s">
        <v>94</v>
      </c>
      <c r="D65" s="26">
        <f>D63+D64</f>
        <v>8075</v>
      </c>
      <c r="H65" t="s">
        <v>102</v>
      </c>
      <c r="I65" s="2">
        <v>150</v>
      </c>
      <c r="J65" s="2">
        <f t="shared" si="0"/>
        <v>184.5</v>
      </c>
    </row>
    <row r="66" spans="2:12" ht="14.5" customHeight="1" thickBot="1" x14ac:dyDescent="0.4">
      <c r="C66" s="21" t="s">
        <v>103</v>
      </c>
      <c r="D66" s="2">
        <f>D65-D62</f>
        <v>5999.0920999999998</v>
      </c>
      <c r="H66" s="19" t="s">
        <v>108</v>
      </c>
      <c r="I66" s="20">
        <f>QUOTIENT(QUOTIENT(D63,1.23),6)</f>
        <v>1287</v>
      </c>
      <c r="J66" s="20">
        <f>PRODUCT(I66,1.23)</f>
        <v>1583.01</v>
      </c>
    </row>
    <row r="67" spans="2:12" ht="15" thickBot="1" x14ac:dyDescent="0.4">
      <c r="C67" s="16" t="s">
        <v>104</v>
      </c>
      <c r="D67" s="18">
        <f>(D66/D63)</f>
        <v>0.63148337894736839</v>
      </c>
    </row>
    <row r="69" spans="2:12" x14ac:dyDescent="0.35">
      <c r="H69" t="s">
        <v>110</v>
      </c>
    </row>
    <row r="71" spans="2:12" ht="27.5" customHeight="1" x14ac:dyDescent="0.35">
      <c r="B71" s="9" t="s">
        <v>107</v>
      </c>
      <c r="C71" s="75" t="s">
        <v>142</v>
      </c>
      <c r="D71" s="75"/>
      <c r="E71" s="75"/>
      <c r="F71" s="75"/>
      <c r="G71" s="75"/>
      <c r="H71" s="75"/>
      <c r="I71" s="75"/>
      <c r="J71" s="75"/>
      <c r="K71" s="75"/>
      <c r="L71" s="75"/>
    </row>
    <row r="73" spans="2:12" ht="15" thickBot="1" x14ac:dyDescent="0.4">
      <c r="C73" s="34" t="s">
        <v>113</v>
      </c>
      <c r="D73" s="27" t="s">
        <v>40</v>
      </c>
      <c r="E73" s="28" t="s">
        <v>91</v>
      </c>
      <c r="F73" s="28" t="s">
        <v>122</v>
      </c>
      <c r="G73" s="35" t="s">
        <v>112</v>
      </c>
    </row>
    <row r="74" spans="2:12" ht="72.5" x14ac:dyDescent="0.35">
      <c r="C74" s="8" t="s">
        <v>134</v>
      </c>
      <c r="D74" s="31" t="s">
        <v>117</v>
      </c>
      <c r="E74" s="32">
        <v>1200</v>
      </c>
      <c r="F74" s="32">
        <v>120</v>
      </c>
      <c r="G74" s="33">
        <f>1-(F74/E74)</f>
        <v>0.9</v>
      </c>
    </row>
    <row r="75" spans="2:12" ht="87" x14ac:dyDescent="0.35">
      <c r="C75" s="8" t="s">
        <v>114</v>
      </c>
      <c r="D75" s="10" t="s">
        <v>118</v>
      </c>
      <c r="E75" s="32">
        <v>2500</v>
      </c>
      <c r="F75" s="32">
        <v>250</v>
      </c>
      <c r="G75" s="33">
        <f t="shared" ref="G75:G77" si="1">1-(F75/E75)</f>
        <v>0.9</v>
      </c>
    </row>
    <row r="76" spans="2:12" ht="72.5" x14ac:dyDescent="0.35">
      <c r="C76" s="8" t="s">
        <v>115</v>
      </c>
      <c r="D76" s="10" t="s">
        <v>119</v>
      </c>
      <c r="E76" s="32">
        <v>1500</v>
      </c>
      <c r="F76" s="32">
        <v>450</v>
      </c>
      <c r="G76" s="33">
        <f t="shared" si="1"/>
        <v>0.7</v>
      </c>
    </row>
    <row r="77" spans="2:12" ht="58.5" thickBot="1" x14ac:dyDescent="0.4">
      <c r="C77" s="36" t="s">
        <v>116</v>
      </c>
      <c r="D77" s="39" t="s">
        <v>120</v>
      </c>
      <c r="E77" s="37">
        <v>5000</v>
      </c>
      <c r="F77" s="37">
        <v>500</v>
      </c>
      <c r="G77" s="38">
        <f t="shared" si="1"/>
        <v>0.9</v>
      </c>
    </row>
    <row r="80" spans="2:12" ht="21" x14ac:dyDescent="0.5">
      <c r="B80" s="74" t="s">
        <v>125</v>
      </c>
      <c r="C80" s="74"/>
    </row>
    <row r="81" spans="2:8" x14ac:dyDescent="0.35">
      <c r="B81" s="7" t="s">
        <v>123</v>
      </c>
      <c r="C81" s="40">
        <f>PRODUCT(D66,100)</f>
        <v>599909.21</v>
      </c>
    </row>
    <row r="82" spans="2:8" x14ac:dyDescent="0.35">
      <c r="B82" s="7" t="s">
        <v>124</v>
      </c>
      <c r="C82" s="2">
        <f>PRODUCT(MEDIAN(E74:E77),100)</f>
        <v>200000</v>
      </c>
    </row>
    <row r="85" spans="2:8" ht="19" thickBot="1" x14ac:dyDescent="0.5">
      <c r="B85" s="56" t="s">
        <v>126</v>
      </c>
      <c r="C85" s="56"/>
      <c r="D85" s="56"/>
      <c r="E85" s="56"/>
      <c r="F85" s="56"/>
      <c r="G85" s="56"/>
      <c r="H85" s="56"/>
    </row>
    <row r="86" spans="2:8" ht="29.5" thickBot="1" x14ac:dyDescent="0.4">
      <c r="B86" s="42" t="s">
        <v>127</v>
      </c>
      <c r="C86" s="42" t="s">
        <v>128</v>
      </c>
      <c r="D86" s="42" t="s">
        <v>129</v>
      </c>
      <c r="E86" s="42" t="s">
        <v>130</v>
      </c>
      <c r="F86" s="42" t="s">
        <v>131</v>
      </c>
      <c r="G86" s="43" t="s">
        <v>132</v>
      </c>
      <c r="H86" s="42" t="s">
        <v>133</v>
      </c>
    </row>
    <row r="87" spans="2:8" x14ac:dyDescent="0.35">
      <c r="B87" s="1">
        <v>0</v>
      </c>
      <c r="C87" s="1">
        <v>0</v>
      </c>
      <c r="D87" s="40">
        <v>0</v>
      </c>
      <c r="E87" s="40">
        <v>0</v>
      </c>
      <c r="F87" s="40">
        <v>-50000</v>
      </c>
      <c r="G87" s="40">
        <v>-50000</v>
      </c>
      <c r="H87" s="40">
        <v>-50000</v>
      </c>
    </row>
    <row r="88" spans="2:8" x14ac:dyDescent="0.35">
      <c r="B88" s="1">
        <v>1</v>
      </c>
      <c r="C88" s="1">
        <v>15</v>
      </c>
      <c r="D88" s="40">
        <f>PRODUCT(C88,D66)</f>
        <v>89986.381500000003</v>
      </c>
      <c r="E88" s="40">
        <f>PRODUCT(C88,MEDIAN(E74:E77)-E74)</f>
        <v>12000</v>
      </c>
      <c r="F88" s="41">
        <f>-E52</f>
        <v>-916137.5</v>
      </c>
      <c r="G88" s="40">
        <f>SUM(D88:F88)</f>
        <v>-814151.11849999998</v>
      </c>
      <c r="H88" s="40">
        <f>H87+G88</f>
        <v>-864151.11849999998</v>
      </c>
    </row>
    <row r="89" spans="2:8" x14ac:dyDescent="0.35">
      <c r="B89" s="1">
        <v>2</v>
      </c>
      <c r="C89" s="1">
        <v>25</v>
      </c>
      <c r="D89" s="40">
        <f>PRODUCT(C89,D66)</f>
        <v>149977.30249999999</v>
      </c>
      <c r="E89" s="40">
        <f>PRODUCT(C89,MEDIAN(E74:E77)-E74)+PRODUCT(C88,MEDIAN(E74:E77))</f>
        <v>50000</v>
      </c>
      <c r="F89" s="41">
        <f>-E52</f>
        <v>-916137.5</v>
      </c>
      <c r="G89" s="40">
        <f t="shared" ref="G89:G93" si="2">SUM(D89:F89)</f>
        <v>-716160.19750000001</v>
      </c>
      <c r="H89" s="40">
        <f t="shared" ref="H89:H93" si="3">H88+G89</f>
        <v>-1580311.3160000001</v>
      </c>
    </row>
    <row r="90" spans="2:8" x14ac:dyDescent="0.35">
      <c r="B90" s="1">
        <v>3</v>
      </c>
      <c r="C90" s="1">
        <v>50</v>
      </c>
      <c r="D90" s="40">
        <f>PRODUCT(C90,D66)</f>
        <v>299954.60499999998</v>
      </c>
      <c r="E90" s="40">
        <f>PRODUCT(C90,MEDIAN(E74:E77)-E74)+PRODUCT(SUM(C88:C89),MEDIAN(E74:E77))</f>
        <v>120000</v>
      </c>
      <c r="F90" s="41">
        <f>-E52</f>
        <v>-916137.5</v>
      </c>
      <c r="G90" s="40">
        <f t="shared" si="2"/>
        <v>-496182.89500000002</v>
      </c>
      <c r="H90" s="40">
        <f t="shared" si="3"/>
        <v>-2076494.2110000001</v>
      </c>
    </row>
    <row r="91" spans="2:8" x14ac:dyDescent="0.35">
      <c r="B91" s="1">
        <v>4</v>
      </c>
      <c r="C91" s="1">
        <v>100</v>
      </c>
      <c r="D91" s="40">
        <f>PRODUCT(C91,D66)</f>
        <v>599909.21</v>
      </c>
      <c r="E91" s="40">
        <f>PRODUCT(C91,MEDIAN(E74:E77)-E74)+PRODUCT(SUM(C88:C90),MEDIAN(E74:E77))</f>
        <v>260000</v>
      </c>
      <c r="F91" s="41">
        <f>-E52</f>
        <v>-916137.5</v>
      </c>
      <c r="G91" s="40">
        <f t="shared" si="2"/>
        <v>-56228.290000000037</v>
      </c>
      <c r="H91" s="40">
        <f t="shared" si="3"/>
        <v>-2132722.5010000002</v>
      </c>
    </row>
    <row r="92" spans="2:8" x14ac:dyDescent="0.35">
      <c r="B92" s="1">
        <v>5</v>
      </c>
      <c r="C92" s="1">
        <v>175</v>
      </c>
      <c r="D92" s="46">
        <f>PRODUCT(C92,D66)</f>
        <v>1049841.1174999999</v>
      </c>
      <c r="E92" s="46">
        <f>PRODUCT(C92,MEDIAN(E74:E77)-E74)+PRODUCT(SUM(C88:C91),MEDIAN(E74:E77))</f>
        <v>520000</v>
      </c>
      <c r="F92" s="47">
        <f>-E52</f>
        <v>-916137.5</v>
      </c>
      <c r="G92" s="46">
        <f t="shared" si="2"/>
        <v>653703.61749999993</v>
      </c>
      <c r="H92" s="46">
        <f t="shared" si="3"/>
        <v>-1479018.8835000002</v>
      </c>
    </row>
    <row r="93" spans="2:8" ht="15" thickBot="1" x14ac:dyDescent="0.4">
      <c r="B93" s="12">
        <v>6</v>
      </c>
      <c r="C93" s="12">
        <v>300</v>
      </c>
      <c r="D93" s="44">
        <f>PRODUCT(C93,D66)</f>
        <v>1799727.63</v>
      </c>
      <c r="E93" s="13">
        <f>PRODUCT(C93,MEDIAN(E74:E77)-E74)+PRODUCT(SUM(C88:C92),MEDIAN(E74:E77))</f>
        <v>970000</v>
      </c>
      <c r="F93" s="45">
        <f>-E52</f>
        <v>-916137.5</v>
      </c>
      <c r="G93" s="44">
        <f t="shared" si="2"/>
        <v>1853590.13</v>
      </c>
      <c r="H93" s="44">
        <f t="shared" si="3"/>
        <v>374571.24649999966</v>
      </c>
    </row>
  </sheetData>
  <mergeCells count="19">
    <mergeCell ref="B2:L2"/>
    <mergeCell ref="B3:F3"/>
    <mergeCell ref="H3:L3"/>
    <mergeCell ref="B27:E27"/>
    <mergeCell ref="H22:K22"/>
    <mergeCell ref="B49:E49"/>
    <mergeCell ref="B52:D52"/>
    <mergeCell ref="B29:C29"/>
    <mergeCell ref="B35:E35"/>
    <mergeCell ref="B43:E43"/>
    <mergeCell ref="B33:L33"/>
    <mergeCell ref="B80:C80"/>
    <mergeCell ref="B85:H85"/>
    <mergeCell ref="B55:L55"/>
    <mergeCell ref="B57:L57"/>
    <mergeCell ref="C58:L58"/>
    <mergeCell ref="C71:L71"/>
    <mergeCell ref="C60:D60"/>
    <mergeCell ref="H61:J6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25ADB-8015-4916-8ED6-A162848A987D}">
  <dimension ref="B2:L106"/>
  <sheetViews>
    <sheetView topLeftCell="A66" zoomScale="104" zoomScaleNormal="115" workbookViewId="0">
      <selection activeCell="B100" sqref="B100"/>
    </sheetView>
  </sheetViews>
  <sheetFormatPr defaultRowHeight="14.5" x14ac:dyDescent="0.35"/>
  <cols>
    <col min="2" max="2" width="29.453125" customWidth="1"/>
    <col min="3" max="3" width="22" customWidth="1"/>
    <col min="4" max="4" width="16.81640625" customWidth="1"/>
    <col min="5" max="5" width="15.1796875" customWidth="1"/>
    <col min="6" max="6" width="12.90625" customWidth="1"/>
    <col min="7" max="7" width="15.453125" customWidth="1"/>
    <col min="8" max="8" width="25.54296875" customWidth="1"/>
    <col min="9" max="9" width="20.1796875" customWidth="1"/>
    <col min="10" max="10" width="16" customWidth="1"/>
    <col min="12" max="12" width="8.7265625" customWidth="1"/>
  </cols>
  <sheetData>
    <row r="2" spans="2:12" ht="28.5" x14ac:dyDescent="0.65">
      <c r="B2" s="64" t="s">
        <v>69</v>
      </c>
      <c r="C2" s="64"/>
      <c r="D2" s="64"/>
      <c r="E2" s="64"/>
      <c r="F2" s="64"/>
      <c r="G2" s="64"/>
      <c r="H2" s="64"/>
      <c r="I2" s="64"/>
      <c r="J2" s="64"/>
      <c r="K2" s="64"/>
      <c r="L2" s="64"/>
    </row>
    <row r="3" spans="2:12" ht="21" x14ac:dyDescent="0.5">
      <c r="B3" s="72" t="s">
        <v>49</v>
      </c>
      <c r="C3" s="72"/>
      <c r="D3" s="72"/>
      <c r="E3" s="72"/>
      <c r="F3" s="72"/>
      <c r="H3" s="72" t="s">
        <v>48</v>
      </c>
      <c r="I3" s="72"/>
      <c r="J3" s="72"/>
      <c r="K3" s="72"/>
      <c r="L3" s="72"/>
    </row>
    <row r="4" spans="2:12" ht="15" thickBot="1" x14ac:dyDescent="0.4">
      <c r="B4" s="4" t="s">
        <v>43</v>
      </c>
      <c r="C4" s="4" t="s">
        <v>39</v>
      </c>
      <c r="D4" s="4" t="s">
        <v>40</v>
      </c>
      <c r="E4" s="4" t="s">
        <v>41</v>
      </c>
      <c r="F4" s="4" t="s">
        <v>42</v>
      </c>
      <c r="H4" s="4" t="s">
        <v>43</v>
      </c>
      <c r="I4" s="4" t="s">
        <v>39</v>
      </c>
      <c r="J4" s="4" t="s">
        <v>40</v>
      </c>
      <c r="K4" s="4" t="s">
        <v>41</v>
      </c>
      <c r="L4" s="4" t="s">
        <v>42</v>
      </c>
    </row>
    <row r="5" spans="2:12" x14ac:dyDescent="0.35">
      <c r="B5" t="s">
        <v>33</v>
      </c>
      <c r="C5" t="s">
        <v>21</v>
      </c>
      <c r="D5" s="1" t="s">
        <v>22</v>
      </c>
      <c r="E5" s="1">
        <v>1</v>
      </c>
      <c r="F5" s="3">
        <v>11.9</v>
      </c>
      <c r="I5" t="s">
        <v>47</v>
      </c>
      <c r="J5" s="1" t="s">
        <v>22</v>
      </c>
      <c r="K5" s="1">
        <v>1</v>
      </c>
      <c r="L5" s="3">
        <v>39.86</v>
      </c>
    </row>
    <row r="6" spans="2:12" x14ac:dyDescent="0.35">
      <c r="C6" t="s">
        <v>0</v>
      </c>
      <c r="D6" s="1" t="s">
        <v>136</v>
      </c>
      <c r="E6" s="1">
        <v>3</v>
      </c>
      <c r="F6" s="3">
        <v>9.86</v>
      </c>
      <c r="H6" t="s">
        <v>88</v>
      </c>
      <c r="I6" t="s">
        <v>50</v>
      </c>
      <c r="J6" s="1" t="s">
        <v>51</v>
      </c>
      <c r="K6" s="1">
        <v>1</v>
      </c>
      <c r="L6" s="3">
        <v>66.900000000000006</v>
      </c>
    </row>
    <row r="7" spans="2:12" x14ac:dyDescent="0.35">
      <c r="B7" t="s">
        <v>34</v>
      </c>
      <c r="C7" t="s">
        <v>1</v>
      </c>
      <c r="D7" s="1" t="s">
        <v>5</v>
      </c>
      <c r="E7" s="1">
        <v>1</v>
      </c>
      <c r="F7" s="3">
        <v>13.58</v>
      </c>
      <c r="I7" t="s">
        <v>57</v>
      </c>
      <c r="J7" s="1" t="s">
        <v>141</v>
      </c>
      <c r="K7" s="1">
        <v>1</v>
      </c>
      <c r="L7" s="3">
        <v>24.95</v>
      </c>
    </row>
    <row r="8" spans="2:12" x14ac:dyDescent="0.35">
      <c r="C8" t="s">
        <v>4</v>
      </c>
      <c r="D8" s="1" t="s">
        <v>7</v>
      </c>
      <c r="E8" s="1">
        <v>1</v>
      </c>
      <c r="F8" s="3">
        <v>8.6999999999999993</v>
      </c>
      <c r="I8" t="s">
        <v>25</v>
      </c>
      <c r="J8" s="1" t="s">
        <v>137</v>
      </c>
      <c r="K8" s="1">
        <v>1</v>
      </c>
      <c r="L8" s="3">
        <v>6.67</v>
      </c>
    </row>
    <row r="9" spans="2:12" x14ac:dyDescent="0.35">
      <c r="C9" t="s">
        <v>2</v>
      </c>
      <c r="D9" s="1" t="s">
        <v>8</v>
      </c>
      <c r="E9" s="1">
        <v>1</v>
      </c>
      <c r="F9" s="3">
        <v>22.11</v>
      </c>
      <c r="I9" t="s">
        <v>11</v>
      </c>
      <c r="J9" s="1" t="s">
        <v>138</v>
      </c>
      <c r="K9" s="1">
        <v>1</v>
      </c>
      <c r="L9" s="3">
        <v>1.05</v>
      </c>
    </row>
    <row r="10" spans="2:12" x14ac:dyDescent="0.35">
      <c r="C10" t="s">
        <v>6</v>
      </c>
      <c r="D10" s="1" t="s">
        <v>9</v>
      </c>
      <c r="E10" s="1">
        <v>1</v>
      </c>
      <c r="F10" s="3">
        <v>23.11</v>
      </c>
      <c r="I10" t="s">
        <v>16</v>
      </c>
      <c r="J10" s="1" t="s">
        <v>10</v>
      </c>
      <c r="K10" s="1">
        <v>1</v>
      </c>
      <c r="L10" s="3">
        <v>19.95</v>
      </c>
    </row>
    <row r="11" spans="2:12" x14ac:dyDescent="0.35">
      <c r="C11" t="s">
        <v>25</v>
      </c>
      <c r="D11" s="1" t="s">
        <v>137</v>
      </c>
      <c r="E11" s="1">
        <v>1</v>
      </c>
      <c r="F11" s="3">
        <v>6.67</v>
      </c>
      <c r="I11" t="s">
        <v>52</v>
      </c>
      <c r="J11" s="1" t="s">
        <v>28</v>
      </c>
      <c r="K11" s="1">
        <v>1</v>
      </c>
      <c r="L11" s="3">
        <v>8.5</v>
      </c>
    </row>
    <row r="12" spans="2:12" x14ac:dyDescent="0.35">
      <c r="C12" t="s">
        <v>11</v>
      </c>
      <c r="D12" s="1" t="s">
        <v>138</v>
      </c>
      <c r="E12" s="1">
        <v>1</v>
      </c>
      <c r="F12" s="3">
        <v>1.05</v>
      </c>
      <c r="I12" t="s">
        <v>53</v>
      </c>
      <c r="J12" s="1" t="s">
        <v>56</v>
      </c>
      <c r="K12" s="1">
        <v>1</v>
      </c>
      <c r="L12" s="3">
        <v>0.05</v>
      </c>
    </row>
    <row r="13" spans="2:12" x14ac:dyDescent="0.35">
      <c r="C13" t="s">
        <v>16</v>
      </c>
      <c r="D13" s="1" t="s">
        <v>10</v>
      </c>
      <c r="E13" s="1">
        <v>1</v>
      </c>
      <c r="F13" s="3">
        <v>19.95</v>
      </c>
      <c r="I13" t="s">
        <v>54</v>
      </c>
      <c r="J13" s="1" t="s">
        <v>55</v>
      </c>
      <c r="K13" s="1">
        <v>1</v>
      </c>
      <c r="L13" s="3">
        <v>0.05</v>
      </c>
    </row>
    <row r="14" spans="2:12" x14ac:dyDescent="0.35">
      <c r="C14" t="s">
        <v>3</v>
      </c>
      <c r="D14" s="1" t="s">
        <v>12</v>
      </c>
      <c r="E14" s="1">
        <v>1</v>
      </c>
      <c r="F14" s="3">
        <v>12.4</v>
      </c>
      <c r="I14" t="s">
        <v>60</v>
      </c>
      <c r="J14" s="1" t="s">
        <v>60</v>
      </c>
      <c r="K14" s="1">
        <v>1</v>
      </c>
      <c r="L14" s="3">
        <v>1.5</v>
      </c>
    </row>
    <row r="15" spans="2:12" x14ac:dyDescent="0.35">
      <c r="C15" t="s">
        <v>13</v>
      </c>
      <c r="D15" s="1" t="s">
        <v>18</v>
      </c>
      <c r="E15" s="1">
        <v>1</v>
      </c>
      <c r="F15" s="3">
        <v>0.33</v>
      </c>
      <c r="I15" t="s">
        <v>66</v>
      </c>
      <c r="J15" s="1" t="s">
        <v>64</v>
      </c>
      <c r="K15" s="1">
        <v>1</v>
      </c>
      <c r="L15" s="3">
        <v>35</v>
      </c>
    </row>
    <row r="16" spans="2:12" x14ac:dyDescent="0.35">
      <c r="C16" t="s">
        <v>14</v>
      </c>
      <c r="D16" s="1" t="s">
        <v>19</v>
      </c>
      <c r="E16" s="1">
        <v>1</v>
      </c>
      <c r="F16" s="3">
        <v>2.64</v>
      </c>
      <c r="I16" t="s">
        <v>62</v>
      </c>
      <c r="J16" s="1" t="s">
        <v>63</v>
      </c>
      <c r="K16" s="1">
        <v>1</v>
      </c>
      <c r="L16" s="3">
        <v>10</v>
      </c>
    </row>
    <row r="17" spans="2:12" x14ac:dyDescent="0.35">
      <c r="C17" t="s">
        <v>15</v>
      </c>
      <c r="D17" s="1" t="s">
        <v>20</v>
      </c>
      <c r="E17" s="1">
        <v>1</v>
      </c>
      <c r="F17" s="3">
        <v>0.32</v>
      </c>
      <c r="I17" t="s">
        <v>58</v>
      </c>
      <c r="J17" s="1" t="s">
        <v>59</v>
      </c>
      <c r="K17" s="1">
        <v>1</v>
      </c>
      <c r="L17" s="3">
        <v>15</v>
      </c>
    </row>
    <row r="18" spans="2:12" x14ac:dyDescent="0.35">
      <c r="B18" t="s">
        <v>35</v>
      </c>
      <c r="C18" t="s">
        <v>17</v>
      </c>
      <c r="D18" s="1" t="s">
        <v>23</v>
      </c>
      <c r="E18" s="1">
        <v>1</v>
      </c>
      <c r="F18" s="3">
        <v>5.95</v>
      </c>
      <c r="H18" t="s">
        <v>38</v>
      </c>
      <c r="I18" t="s">
        <v>26</v>
      </c>
      <c r="J18" s="1" t="s">
        <v>28</v>
      </c>
      <c r="K18" s="1">
        <v>1</v>
      </c>
      <c r="L18" s="3">
        <v>5</v>
      </c>
    </row>
    <row r="19" spans="2:12" x14ac:dyDescent="0.35">
      <c r="B19" t="s">
        <v>37</v>
      </c>
      <c r="C19" t="s">
        <v>61</v>
      </c>
      <c r="D19" s="1" t="s">
        <v>139</v>
      </c>
      <c r="E19" s="1">
        <v>1</v>
      </c>
      <c r="F19" s="3">
        <v>10</v>
      </c>
      <c r="H19" t="s">
        <v>38</v>
      </c>
      <c r="I19" t="s">
        <v>27</v>
      </c>
      <c r="J19" s="1" t="s">
        <v>28</v>
      </c>
      <c r="K19" s="1">
        <v>1</v>
      </c>
      <c r="L19" s="3">
        <v>8</v>
      </c>
    </row>
    <row r="20" spans="2:12" x14ac:dyDescent="0.35">
      <c r="B20" t="s">
        <v>36</v>
      </c>
      <c r="C20" t="s">
        <v>24</v>
      </c>
      <c r="D20" s="1" t="s">
        <v>140</v>
      </c>
      <c r="E20" s="1">
        <v>1</v>
      </c>
      <c r="F20" s="3">
        <v>6.4</v>
      </c>
      <c r="H20" t="s">
        <v>46</v>
      </c>
      <c r="I20" t="s">
        <v>31</v>
      </c>
      <c r="J20" s="1" t="s">
        <v>28</v>
      </c>
      <c r="K20" s="1">
        <v>1</v>
      </c>
      <c r="L20" s="3">
        <v>5</v>
      </c>
    </row>
    <row r="21" spans="2:12" ht="15" thickBot="1" x14ac:dyDescent="0.4">
      <c r="C21" t="s">
        <v>29</v>
      </c>
      <c r="D21" s="1" t="s">
        <v>30</v>
      </c>
      <c r="E21" s="1">
        <v>2</v>
      </c>
      <c r="F21" s="3">
        <v>0.68</v>
      </c>
      <c r="H21" s="13"/>
      <c r="I21" s="13" t="s">
        <v>44</v>
      </c>
      <c r="J21" s="12" t="s">
        <v>28</v>
      </c>
      <c r="K21" s="12">
        <v>1</v>
      </c>
      <c r="L21" s="17">
        <v>20</v>
      </c>
    </row>
    <row r="22" spans="2:12" ht="15" thickBot="1" x14ac:dyDescent="0.4">
      <c r="B22" t="s">
        <v>38</v>
      </c>
      <c r="C22" t="s">
        <v>26</v>
      </c>
      <c r="D22" s="1" t="s">
        <v>28</v>
      </c>
      <c r="E22" s="1">
        <v>1</v>
      </c>
      <c r="F22" s="3">
        <v>5</v>
      </c>
      <c r="H22" s="73" t="s">
        <v>32</v>
      </c>
      <c r="I22" s="73"/>
      <c r="J22" s="73"/>
      <c r="K22" s="73"/>
      <c r="L22" s="14">
        <f>SUM(L5:L21)</f>
        <v>267.48</v>
      </c>
    </row>
    <row r="23" spans="2:12" x14ac:dyDescent="0.35">
      <c r="B23" t="s">
        <v>38</v>
      </c>
      <c r="C23" t="s">
        <v>27</v>
      </c>
      <c r="D23" s="1" t="s">
        <v>28</v>
      </c>
      <c r="E23" s="1">
        <v>1</v>
      </c>
      <c r="F23" s="3">
        <v>8</v>
      </c>
    </row>
    <row r="24" spans="2:12" x14ac:dyDescent="0.35">
      <c r="B24" t="s">
        <v>46</v>
      </c>
      <c r="C24" t="s">
        <v>31</v>
      </c>
      <c r="D24" s="1" t="s">
        <v>28</v>
      </c>
      <c r="E24" s="1">
        <v>5</v>
      </c>
      <c r="F24" s="3">
        <v>5</v>
      </c>
    </row>
    <row r="25" spans="2:12" x14ac:dyDescent="0.35">
      <c r="C25" t="s">
        <v>44</v>
      </c>
      <c r="D25" s="1" t="s">
        <v>28</v>
      </c>
      <c r="E25" s="1">
        <v>1</v>
      </c>
      <c r="F25" s="3">
        <v>20</v>
      </c>
    </row>
    <row r="26" spans="2:12" ht="15" thickBot="1" x14ac:dyDescent="0.4">
      <c r="B26" s="13"/>
      <c r="C26" s="13" t="s">
        <v>45</v>
      </c>
      <c r="D26" s="12" t="s">
        <v>28</v>
      </c>
      <c r="E26" s="12">
        <v>1</v>
      </c>
      <c r="F26" s="17">
        <v>50</v>
      </c>
    </row>
    <row r="27" spans="2:12" ht="15" thickBot="1" x14ac:dyDescent="0.4">
      <c r="B27" s="73" t="s">
        <v>32</v>
      </c>
      <c r="C27" s="73"/>
      <c r="D27" s="73"/>
      <c r="E27" s="73"/>
      <c r="F27" s="14">
        <f>SUMPRODUCT(E5:E26,F5:F26)</f>
        <v>284.04999999999995</v>
      </c>
    </row>
    <row r="29" spans="2:12" ht="16" x14ac:dyDescent="0.4">
      <c r="B29" s="71" t="s">
        <v>67</v>
      </c>
      <c r="C29" s="71"/>
    </row>
    <row r="30" spans="2:12" ht="18.5" customHeight="1" x14ac:dyDescent="0.45">
      <c r="B30" s="50" t="s">
        <v>149</v>
      </c>
      <c r="C30" s="51">
        <f>SUM(5*F27,L22)</f>
        <v>1687.7299999999998</v>
      </c>
    </row>
    <row r="31" spans="2:12" ht="18.5" customHeight="1" x14ac:dyDescent="0.45">
      <c r="B31" s="49" t="s">
        <v>144</v>
      </c>
      <c r="C31" s="51">
        <f>C30*0.15</f>
        <v>253.15949999999995</v>
      </c>
    </row>
    <row r="32" spans="2:12" ht="18.5" x14ac:dyDescent="0.45">
      <c r="B32" s="49" t="s">
        <v>145</v>
      </c>
      <c r="C32" s="52">
        <v>150</v>
      </c>
    </row>
    <row r="33" spans="2:12" ht="18.5" x14ac:dyDescent="0.45">
      <c r="B33" s="49" t="s">
        <v>146</v>
      </c>
      <c r="C33" s="52">
        <v>50</v>
      </c>
    </row>
    <row r="34" spans="2:12" ht="18.5" x14ac:dyDescent="0.45">
      <c r="B34" s="49" t="s">
        <v>147</v>
      </c>
      <c r="C34" s="52">
        <f>C30*0.05</f>
        <v>84.386499999999998</v>
      </c>
    </row>
    <row r="36" spans="2:12" ht="21" x14ac:dyDescent="0.5">
      <c r="B36" s="53" t="s">
        <v>148</v>
      </c>
      <c r="C36" s="6">
        <f>SUM(C30:C34)</f>
        <v>2225.2759999999998</v>
      </c>
    </row>
    <row r="37" spans="2:12" ht="15" customHeight="1" x14ac:dyDescent="0.5">
      <c r="B37" s="53"/>
      <c r="C37" s="6"/>
    </row>
    <row r="38" spans="2:12" ht="15" customHeight="1" x14ac:dyDescent="0.5">
      <c r="B38" s="11"/>
      <c r="C38" s="6"/>
    </row>
    <row r="39" spans="2:12" ht="28.5" x14ac:dyDescent="0.65">
      <c r="B39" s="64" t="s">
        <v>68</v>
      </c>
      <c r="C39" s="64"/>
      <c r="D39" s="64"/>
      <c r="E39" s="64"/>
      <c r="F39" s="64"/>
      <c r="G39" s="64"/>
      <c r="H39" s="64"/>
      <c r="I39" s="64"/>
      <c r="J39" s="64"/>
      <c r="K39" s="64"/>
      <c r="L39" s="64"/>
    </row>
    <row r="40" spans="2:12" ht="15" thickBot="1" x14ac:dyDescent="0.4">
      <c r="B40" s="4" t="s">
        <v>81</v>
      </c>
      <c r="C40" s="4" t="s">
        <v>82</v>
      </c>
      <c r="D40" s="4" t="s">
        <v>41</v>
      </c>
      <c r="E40" s="4" t="s">
        <v>79</v>
      </c>
    </row>
    <row r="41" spans="2:12" ht="15" customHeight="1" thickBot="1" x14ac:dyDescent="0.4">
      <c r="B41" s="65" t="s">
        <v>70</v>
      </c>
      <c r="C41" s="65"/>
      <c r="D41" s="65"/>
      <c r="E41" s="65"/>
    </row>
    <row r="42" spans="2:12" x14ac:dyDescent="0.35">
      <c r="B42" t="s">
        <v>150</v>
      </c>
      <c r="C42" s="1" t="s">
        <v>78</v>
      </c>
      <c r="D42" s="1">
        <v>1</v>
      </c>
      <c r="E42" s="2">
        <v>600</v>
      </c>
    </row>
    <row r="43" spans="2:12" x14ac:dyDescent="0.35">
      <c r="B43" t="s">
        <v>71</v>
      </c>
      <c r="C43" s="1" t="s">
        <v>78</v>
      </c>
      <c r="D43" s="1">
        <v>1</v>
      </c>
      <c r="E43" s="2">
        <v>2400</v>
      </c>
    </row>
    <row r="44" spans="2:12" x14ac:dyDescent="0.35">
      <c r="B44" t="s">
        <v>77</v>
      </c>
      <c r="C44" s="1" t="s">
        <v>78</v>
      </c>
      <c r="D44" s="1">
        <v>1</v>
      </c>
      <c r="E44" s="2">
        <v>400</v>
      </c>
    </row>
    <row r="45" spans="2:12" x14ac:dyDescent="0.35">
      <c r="B45" t="s">
        <v>143</v>
      </c>
      <c r="C45" s="1" t="s">
        <v>78</v>
      </c>
      <c r="D45" s="1">
        <v>1</v>
      </c>
      <c r="E45" s="2">
        <v>15000</v>
      </c>
    </row>
    <row r="46" spans="2:12" x14ac:dyDescent="0.35">
      <c r="B46" t="s">
        <v>83</v>
      </c>
      <c r="C46" s="1" t="s">
        <v>78</v>
      </c>
      <c r="D46" s="1">
        <v>1</v>
      </c>
      <c r="E46" s="2">
        <v>1200</v>
      </c>
    </row>
    <row r="47" spans="2:12" x14ac:dyDescent="0.35">
      <c r="B47" t="s">
        <v>154</v>
      </c>
      <c r="C47" s="1" t="s">
        <v>78</v>
      </c>
      <c r="D47" s="1">
        <v>1</v>
      </c>
      <c r="E47" s="2">
        <v>3500</v>
      </c>
    </row>
    <row r="48" spans="2:12" x14ac:dyDescent="0.35">
      <c r="B48" t="s">
        <v>155</v>
      </c>
      <c r="C48" s="1" t="s">
        <v>78</v>
      </c>
      <c r="D48" s="1">
        <v>1</v>
      </c>
      <c r="E48" s="2">
        <v>15000</v>
      </c>
    </row>
    <row r="49" spans="2:10" ht="15" thickBot="1" x14ac:dyDescent="0.4">
      <c r="B49" s="13"/>
      <c r="C49" s="13"/>
      <c r="D49" s="13"/>
      <c r="E49" s="14"/>
    </row>
    <row r="50" spans="2:10" ht="15" thickBot="1" x14ac:dyDescent="0.4">
      <c r="B50" s="66" t="s">
        <v>151</v>
      </c>
      <c r="C50" s="66"/>
      <c r="D50" s="66"/>
      <c r="E50" s="66"/>
    </row>
    <row r="51" spans="2:10" x14ac:dyDescent="0.35">
      <c r="B51" t="s">
        <v>72</v>
      </c>
      <c r="C51" s="1" t="s">
        <v>78</v>
      </c>
      <c r="D51" s="1">
        <v>8</v>
      </c>
      <c r="E51" s="2">
        <v>37200</v>
      </c>
    </row>
    <row r="52" spans="2:10" x14ac:dyDescent="0.35">
      <c r="B52" t="s">
        <v>73</v>
      </c>
      <c r="C52" s="1" t="s">
        <v>78</v>
      </c>
      <c r="D52" s="1">
        <v>3</v>
      </c>
      <c r="E52" s="2">
        <v>54000</v>
      </c>
    </row>
    <row r="53" spans="2:10" x14ac:dyDescent="0.35">
      <c r="B53" t="s">
        <v>75</v>
      </c>
      <c r="C53" s="1" t="s">
        <v>78</v>
      </c>
      <c r="D53" s="1">
        <v>1</v>
      </c>
      <c r="E53" s="2">
        <v>72000</v>
      </c>
    </row>
    <row r="54" spans="2:10" x14ac:dyDescent="0.35">
      <c r="B54" t="s">
        <v>74</v>
      </c>
      <c r="C54" s="1" t="s">
        <v>78</v>
      </c>
      <c r="D54" s="1">
        <v>1</v>
      </c>
      <c r="E54" s="2">
        <v>57600</v>
      </c>
      <c r="J54" t="s">
        <v>170</v>
      </c>
    </row>
    <row r="55" spans="2:10" ht="15" thickBot="1" x14ac:dyDescent="0.4">
      <c r="B55" s="13"/>
      <c r="C55" s="12"/>
      <c r="D55" s="12"/>
      <c r="E55" s="14"/>
      <c r="J55" t="s">
        <v>169</v>
      </c>
    </row>
    <row r="56" spans="2:10" ht="15" thickBot="1" x14ac:dyDescent="0.4">
      <c r="B56" s="66" t="s">
        <v>165</v>
      </c>
      <c r="C56" s="66"/>
      <c r="D56" s="66"/>
      <c r="E56" s="66"/>
      <c r="J56" t="s">
        <v>172</v>
      </c>
    </row>
    <row r="57" spans="2:10" x14ac:dyDescent="0.35">
      <c r="B57" t="s">
        <v>156</v>
      </c>
      <c r="C57" s="1" t="s">
        <v>78</v>
      </c>
      <c r="D57" s="1">
        <v>1</v>
      </c>
      <c r="E57" s="2">
        <v>25000</v>
      </c>
      <c r="J57" t="s">
        <v>173</v>
      </c>
    </row>
    <row r="58" spans="2:10" x14ac:dyDescent="0.35">
      <c r="B58" t="s">
        <v>157</v>
      </c>
      <c r="C58" s="1" t="s">
        <v>78</v>
      </c>
      <c r="D58" s="1">
        <v>2</v>
      </c>
      <c r="E58" s="2">
        <v>28000</v>
      </c>
    </row>
    <row r="59" spans="2:10" x14ac:dyDescent="0.35">
      <c r="B59" t="s">
        <v>158</v>
      </c>
      <c r="C59" s="1" t="s">
        <v>78</v>
      </c>
      <c r="D59" s="1">
        <v>2</v>
      </c>
      <c r="E59" s="2">
        <v>32400</v>
      </c>
    </row>
    <row r="60" spans="2:10" ht="15" thickBot="1" x14ac:dyDescent="0.4">
      <c r="B60" s="13"/>
      <c r="C60" s="13"/>
      <c r="D60" s="13"/>
      <c r="E60" s="13"/>
    </row>
    <row r="61" spans="2:10" ht="15" thickBot="1" x14ac:dyDescent="0.4">
      <c r="B61" s="66" t="s">
        <v>84</v>
      </c>
      <c r="C61" s="66"/>
      <c r="D61" s="66"/>
      <c r="E61" s="66"/>
    </row>
    <row r="62" spans="2:10" x14ac:dyDescent="0.35">
      <c r="B62" s="48" t="s">
        <v>152</v>
      </c>
      <c r="C62" s="1" t="s">
        <v>78</v>
      </c>
      <c r="D62" s="54">
        <v>0.1</v>
      </c>
      <c r="E62" s="55">
        <f>500000*0.1</f>
        <v>50000</v>
      </c>
    </row>
    <row r="63" spans="2:10" x14ac:dyDescent="0.35">
      <c r="B63" t="s">
        <v>153</v>
      </c>
      <c r="C63" s="1" t="s">
        <v>78</v>
      </c>
      <c r="D63" s="54">
        <v>0.1</v>
      </c>
      <c r="E63" s="2">
        <v>70000</v>
      </c>
    </row>
    <row r="64" spans="2:10" ht="15" thickBot="1" x14ac:dyDescent="0.4">
      <c r="B64" s="13" t="s">
        <v>86</v>
      </c>
      <c r="C64" s="12" t="s">
        <v>78</v>
      </c>
      <c r="D64" s="12">
        <v>1</v>
      </c>
      <c r="E64" s="14">
        <v>10000</v>
      </c>
    </row>
    <row r="65" spans="2:12" ht="15" thickBot="1" x14ac:dyDescent="0.4">
      <c r="B65" s="67" t="s">
        <v>159</v>
      </c>
      <c r="C65" s="67"/>
      <c r="D65" s="67"/>
      <c r="E65" s="15">
        <f>SUMPRODUCT(D42:D48,E42:E48) + SUMPRODUCT(D51:D54,E51:E54) + SUMPRODUCT(D62:D64,E62:E64)</f>
        <v>649300</v>
      </c>
    </row>
    <row r="66" spans="2:12" ht="15" thickBot="1" x14ac:dyDescent="0.4">
      <c r="B66" s="67" t="s">
        <v>164</v>
      </c>
      <c r="C66" s="67"/>
      <c r="D66" s="67"/>
      <c r="E66" s="15">
        <f>SUMPRODUCT(D42:D48,E42:E48) + SUMPRODUCT(D51:D54,E51:E54) + + SUMPRODUCT(D57:D59,E57:E59) + SUMPRODUCT(D62:D64,E62:E64)</f>
        <v>795100</v>
      </c>
    </row>
    <row r="69" spans="2:12" ht="28.5" x14ac:dyDescent="0.65">
      <c r="B69" s="68" t="s">
        <v>121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</row>
    <row r="70" spans="2:12" ht="21" x14ac:dyDescent="0.5">
      <c r="B70" s="30" t="s">
        <v>89</v>
      </c>
    </row>
    <row r="71" spans="2:12" x14ac:dyDescent="0.35">
      <c r="B71" s="69" t="s">
        <v>111</v>
      </c>
      <c r="C71" s="69"/>
      <c r="D71" s="69"/>
      <c r="E71" s="69"/>
      <c r="F71" s="69"/>
      <c r="G71" s="69"/>
      <c r="H71" s="69"/>
      <c r="I71" s="69"/>
      <c r="J71" s="69"/>
      <c r="K71" s="69"/>
      <c r="L71" s="69"/>
    </row>
    <row r="72" spans="2:12" ht="31" customHeight="1" x14ac:dyDescent="0.35">
      <c r="B72" s="9" t="s">
        <v>90</v>
      </c>
      <c r="C72" s="62" t="s">
        <v>109</v>
      </c>
      <c r="D72" s="62"/>
      <c r="E72" s="62"/>
      <c r="F72" s="62"/>
      <c r="G72" s="62"/>
      <c r="H72" s="62"/>
      <c r="I72" s="62"/>
      <c r="J72" s="62"/>
      <c r="K72" s="62"/>
      <c r="L72" s="62"/>
    </row>
    <row r="74" spans="2:12" ht="18.5" x14ac:dyDescent="0.45">
      <c r="C74" s="70" t="s">
        <v>135</v>
      </c>
      <c r="D74" s="70"/>
    </row>
    <row r="75" spans="2:12" ht="19" thickBot="1" x14ac:dyDescent="0.4">
      <c r="C75" s="4" t="s">
        <v>95</v>
      </c>
      <c r="D75" s="4" t="s">
        <v>79</v>
      </c>
      <c r="H75" s="63" t="s">
        <v>99</v>
      </c>
      <c r="I75" s="63"/>
      <c r="J75" s="63"/>
    </row>
    <row r="76" spans="2:12" ht="29.5" customHeight="1" thickBot="1" x14ac:dyDescent="0.4">
      <c r="C76" s="24" t="s">
        <v>160</v>
      </c>
      <c r="D76" s="23">
        <f>C36</f>
        <v>2225.2759999999998</v>
      </c>
      <c r="H76" s="27" t="s">
        <v>98</v>
      </c>
      <c r="I76" s="57" t="s">
        <v>161</v>
      </c>
      <c r="J76" s="57"/>
    </row>
    <row r="77" spans="2:12" x14ac:dyDescent="0.35">
      <c r="C77" s="24" t="s">
        <v>92</v>
      </c>
      <c r="D77" s="23">
        <v>7500</v>
      </c>
      <c r="H77" t="s">
        <v>100</v>
      </c>
      <c r="I77" s="58">
        <v>927</v>
      </c>
      <c r="J77" s="58"/>
    </row>
    <row r="78" spans="2:12" ht="29" x14ac:dyDescent="0.35">
      <c r="C78" s="24" t="s">
        <v>93</v>
      </c>
      <c r="D78" s="23">
        <f>PRODUCT(D77,-0.15)</f>
        <v>-1125</v>
      </c>
      <c r="H78" s="22" t="s">
        <v>168</v>
      </c>
      <c r="I78" s="59">
        <v>1057</v>
      </c>
      <c r="J78" s="59"/>
    </row>
    <row r="79" spans="2:12" ht="15" thickBot="1" x14ac:dyDescent="0.4">
      <c r="C79" s="25" t="s">
        <v>94</v>
      </c>
      <c r="D79" s="26">
        <f>D77+D78</f>
        <v>6375</v>
      </c>
      <c r="H79" t="s">
        <v>102</v>
      </c>
      <c r="I79" s="60">
        <v>150</v>
      </c>
      <c r="J79" s="60"/>
    </row>
    <row r="80" spans="2:12" ht="15" thickBot="1" x14ac:dyDescent="0.4">
      <c r="C80" s="21" t="s">
        <v>103</v>
      </c>
      <c r="D80" s="2">
        <f>D79-D76</f>
        <v>4149.7240000000002</v>
      </c>
      <c r="H80" s="19" t="s">
        <v>108</v>
      </c>
      <c r="I80" s="61">
        <f>QUOTIENT(D77,6)</f>
        <v>1250</v>
      </c>
      <c r="J80" s="61"/>
    </row>
    <row r="81" spans="2:12" ht="15" thickBot="1" x14ac:dyDescent="0.4">
      <c r="C81" s="16" t="s">
        <v>104</v>
      </c>
      <c r="D81" s="18">
        <f>(D80/D77)</f>
        <v>0.5532965333333334</v>
      </c>
    </row>
    <row r="83" spans="2:12" x14ac:dyDescent="0.35">
      <c r="H83" t="s">
        <v>110</v>
      </c>
    </row>
    <row r="85" spans="2:12" ht="32" customHeight="1" x14ac:dyDescent="0.35">
      <c r="B85" s="9" t="s">
        <v>107</v>
      </c>
      <c r="C85" s="62" t="s">
        <v>142</v>
      </c>
      <c r="D85" s="62"/>
      <c r="E85" s="62"/>
      <c r="F85" s="62"/>
      <c r="G85" s="62"/>
      <c r="H85" s="62"/>
      <c r="I85" s="62"/>
      <c r="J85" s="62"/>
      <c r="K85" s="62"/>
      <c r="L85" s="62"/>
    </row>
    <row r="87" spans="2:12" ht="29.5" thickBot="1" x14ac:dyDescent="0.4">
      <c r="C87" s="34" t="s">
        <v>113</v>
      </c>
      <c r="D87" s="27" t="s">
        <v>40</v>
      </c>
      <c r="E87" s="28" t="s">
        <v>162</v>
      </c>
      <c r="F87" s="28" t="s">
        <v>163</v>
      </c>
      <c r="G87" s="28" t="s">
        <v>112</v>
      </c>
      <c r="H87" s="28" t="s">
        <v>166</v>
      </c>
    </row>
    <row r="88" spans="2:12" ht="72.5" x14ac:dyDescent="0.35">
      <c r="C88" s="8" t="s">
        <v>134</v>
      </c>
      <c r="D88" s="31" t="s">
        <v>117</v>
      </c>
      <c r="E88" s="32">
        <v>240</v>
      </c>
      <c r="F88" s="32">
        <v>120</v>
      </c>
      <c r="G88" s="33">
        <f>1-(F88/E88)</f>
        <v>0.5</v>
      </c>
      <c r="H88" s="33">
        <v>1</v>
      </c>
    </row>
    <row r="89" spans="2:12" ht="87" x14ac:dyDescent="0.35">
      <c r="C89" s="8" t="s">
        <v>114</v>
      </c>
      <c r="D89" s="10" t="s">
        <v>118</v>
      </c>
      <c r="E89" s="32">
        <v>720</v>
      </c>
      <c r="F89" s="32">
        <v>250</v>
      </c>
      <c r="G89" s="33">
        <f t="shared" ref="G89:G91" si="0">1-(F89/E89)</f>
        <v>0.65277777777777779</v>
      </c>
      <c r="H89" s="33">
        <v>0.5</v>
      </c>
    </row>
    <row r="90" spans="2:12" ht="72.5" x14ac:dyDescent="0.35">
      <c r="C90" s="8" t="s">
        <v>115</v>
      </c>
      <c r="D90" s="10" t="s">
        <v>119</v>
      </c>
      <c r="E90" s="32">
        <v>780</v>
      </c>
      <c r="F90" s="32">
        <v>450</v>
      </c>
      <c r="G90" s="33">
        <f t="shared" si="0"/>
        <v>0.42307692307692313</v>
      </c>
      <c r="H90" s="33">
        <v>0.4</v>
      </c>
    </row>
    <row r="91" spans="2:12" ht="58.5" thickBot="1" x14ac:dyDescent="0.4">
      <c r="C91" s="36" t="s">
        <v>116</v>
      </c>
      <c r="D91" s="39" t="s">
        <v>120</v>
      </c>
      <c r="E91" s="37">
        <v>1800</v>
      </c>
      <c r="F91" s="37">
        <v>500</v>
      </c>
      <c r="G91" s="38">
        <f t="shared" si="0"/>
        <v>0.72222222222222221</v>
      </c>
      <c r="H91" s="38">
        <v>0.1</v>
      </c>
    </row>
    <row r="94" spans="2:12" ht="19" thickBot="1" x14ac:dyDescent="0.5">
      <c r="B94" s="56" t="s">
        <v>126</v>
      </c>
      <c r="C94" s="56"/>
      <c r="D94" s="56"/>
      <c r="E94" s="56"/>
      <c r="F94" s="56"/>
      <c r="G94" s="56"/>
      <c r="H94" s="56"/>
    </row>
    <row r="95" spans="2:12" ht="29.5" thickBot="1" x14ac:dyDescent="0.4">
      <c r="B95" s="42" t="s">
        <v>127</v>
      </c>
      <c r="C95" s="42" t="s">
        <v>128</v>
      </c>
      <c r="D95" s="42" t="s">
        <v>129</v>
      </c>
      <c r="E95" s="42" t="s">
        <v>130</v>
      </c>
      <c r="F95" s="42" t="s">
        <v>131</v>
      </c>
      <c r="G95" s="43" t="s">
        <v>132</v>
      </c>
      <c r="H95" s="42" t="s">
        <v>133</v>
      </c>
    </row>
    <row r="96" spans="2:12" x14ac:dyDescent="0.35">
      <c r="B96" s="1">
        <v>0</v>
      </c>
      <c r="C96" s="1">
        <v>0</v>
      </c>
      <c r="D96" s="40">
        <v>0</v>
      </c>
      <c r="E96" s="40">
        <v>0</v>
      </c>
      <c r="F96" s="40">
        <v>-50000</v>
      </c>
      <c r="G96" s="40">
        <v>-50000</v>
      </c>
      <c r="H96" s="40">
        <v>-50000</v>
      </c>
    </row>
    <row r="97" spans="2:9" x14ac:dyDescent="0.35">
      <c r="B97" s="1">
        <v>1</v>
      </c>
      <c r="C97" s="1">
        <v>10</v>
      </c>
      <c r="D97" s="40">
        <f>PRODUCT(C97,D80)</f>
        <v>41497.240000000005</v>
      </c>
      <c r="E97" s="40">
        <f>PRODUCT(C97,SUMPRODUCT(E88:E91,H88:H91)-E88)</f>
        <v>8520</v>
      </c>
      <c r="F97" s="41">
        <f>-E65</f>
        <v>-649300</v>
      </c>
      <c r="G97" s="40">
        <f>SUM(D97:F97)</f>
        <v>-599282.76</v>
      </c>
      <c r="H97" s="40">
        <f>H96+G97</f>
        <v>-649282.76</v>
      </c>
    </row>
    <row r="98" spans="2:9" x14ac:dyDescent="0.35">
      <c r="B98" s="1">
        <v>2</v>
      </c>
      <c r="C98" s="1">
        <v>25</v>
      </c>
      <c r="D98" s="40">
        <f>PRODUCT(C98,D80)</f>
        <v>103743.1</v>
      </c>
      <c r="E98" s="40">
        <f>PRODUCT(C98,SUMPRODUCT(E88:E91,H88:H91)-E88)+PRODUCT(C97,SUMPRODUCT(E88:E91,H88:H91))</f>
        <v>32220</v>
      </c>
      <c r="F98" s="41">
        <f>-E65</f>
        <v>-649300</v>
      </c>
      <c r="G98" s="40">
        <f t="shared" ref="G98:G101" si="1">SUM(D98:F98)</f>
        <v>-513336.9</v>
      </c>
      <c r="H98" s="40">
        <f t="shared" ref="H98:H106" si="2">H97+G98</f>
        <v>-1162619.6600000001</v>
      </c>
      <c r="I98" t="s">
        <v>171</v>
      </c>
    </row>
    <row r="99" spans="2:9" x14ac:dyDescent="0.35">
      <c r="B99" s="1">
        <v>3</v>
      </c>
      <c r="C99" s="1">
        <v>50</v>
      </c>
      <c r="D99" s="40">
        <f>PRODUCT(C99,D80)</f>
        <v>207486.2</v>
      </c>
      <c r="E99" s="40">
        <f>PRODUCT(C99,SUMPRODUCT(E88:E91,H88:H91)-E88)+PRODUCT(SUM(C97:C98),SUMPRODUCT(E88:E91,H88:H91))</f>
        <v>80820</v>
      </c>
      <c r="F99" s="41">
        <f>-E66</f>
        <v>-795100</v>
      </c>
      <c r="G99" s="40">
        <f t="shared" si="1"/>
        <v>-506793.8</v>
      </c>
      <c r="H99" s="40">
        <f t="shared" si="2"/>
        <v>-1669413.4600000002</v>
      </c>
    </row>
    <row r="100" spans="2:9" x14ac:dyDescent="0.35">
      <c r="B100" s="1">
        <v>4</v>
      </c>
      <c r="C100" s="1">
        <v>75</v>
      </c>
      <c r="D100" s="40">
        <f>PRODUCT(C100,D80)</f>
        <v>311229.3</v>
      </c>
      <c r="E100" s="40">
        <f>PRODUCT(C100,SUMPRODUCT(E88:E91,H88:H91)-E88)+PRODUCT(SUM(C97:C99),SUMPRODUCT(E88:E91,H88:H91))</f>
        <v>156720</v>
      </c>
      <c r="F100" s="41">
        <f>-E66</f>
        <v>-795100</v>
      </c>
      <c r="G100" s="40">
        <f t="shared" si="1"/>
        <v>-327150.7</v>
      </c>
      <c r="H100" s="40">
        <f t="shared" si="2"/>
        <v>-1996564.1600000001</v>
      </c>
    </row>
    <row r="101" spans="2:9" x14ac:dyDescent="0.35">
      <c r="B101" s="1">
        <v>5</v>
      </c>
      <c r="C101" s="1">
        <v>100</v>
      </c>
      <c r="D101" s="46">
        <f>PRODUCT(C101,D80)</f>
        <v>414972.4</v>
      </c>
      <c r="E101" s="46">
        <f>PRODUCT(C101,SUMPRODUCT(E88:E91,H88:H91)-E88)+PRODUCT(SUM(C97:C100),SUMPRODUCT(E88:E91,H88:H91))</f>
        <v>259920</v>
      </c>
      <c r="F101" s="47">
        <f>-E66</f>
        <v>-795100</v>
      </c>
      <c r="G101" s="46">
        <f t="shared" si="1"/>
        <v>-120207.59999999998</v>
      </c>
      <c r="H101" s="46">
        <f t="shared" si="2"/>
        <v>-2116771.7600000002</v>
      </c>
    </row>
    <row r="102" spans="2:9" x14ac:dyDescent="0.35">
      <c r="B102" s="1">
        <v>6</v>
      </c>
      <c r="C102" s="1">
        <v>125</v>
      </c>
      <c r="D102" s="46">
        <f>PRODUCT(C102,D80)</f>
        <v>518715.5</v>
      </c>
      <c r="E102" s="46">
        <f>PRODUCT(C102,SUMPRODUCT(E88:E91,H88:H91)-E88)+PRODUCT(SUM(C97:C101),SUMPRODUCT(E88:E91,H88:H91))</f>
        <v>390420</v>
      </c>
      <c r="F102" s="47">
        <f>-E66</f>
        <v>-795100</v>
      </c>
      <c r="G102" s="46">
        <f>SUM(D102:F102)</f>
        <v>114035.5</v>
      </c>
      <c r="H102" s="46">
        <f t="shared" si="2"/>
        <v>-2002736.2600000002</v>
      </c>
    </row>
    <row r="103" spans="2:9" x14ac:dyDescent="0.35">
      <c r="B103" s="1">
        <v>7</v>
      </c>
      <c r="C103" s="1">
        <v>150</v>
      </c>
      <c r="D103" s="46">
        <f>PRODUCT(C103,D80)</f>
        <v>622458.6</v>
      </c>
      <c r="E103" s="46">
        <f>PRODUCT(C103,SUMPRODUCT(E88:E91,H88:H91)-E88)+PRODUCT(SUM(C98:C102),SUMPRODUCT(E88:E91,H88:H91))</f>
        <v>537300</v>
      </c>
      <c r="F103" s="47">
        <f>-E66</f>
        <v>-795100</v>
      </c>
      <c r="G103" s="46">
        <f>SUM(D103:F103)</f>
        <v>364658.60000000009</v>
      </c>
      <c r="H103" s="46">
        <f t="shared" si="2"/>
        <v>-1638077.6600000001</v>
      </c>
    </row>
    <row r="104" spans="2:9" x14ac:dyDescent="0.35">
      <c r="B104" s="1">
        <v>8</v>
      </c>
      <c r="C104" s="1">
        <v>200</v>
      </c>
      <c r="D104" s="40">
        <f>PRODUCT(C104,D80)</f>
        <v>829944.8</v>
      </c>
      <c r="E104" s="40">
        <f>PRODUCT(C104,SUMPRODUCT(E88:E91,H88:H91)-E88)+PRODUCT(SUM(C98:C103),SUMPRODUCT(E88:E91,H88:H91))</f>
        <v>743700</v>
      </c>
      <c r="F104" s="2">
        <f>-E66</f>
        <v>-795100</v>
      </c>
      <c r="G104" s="46">
        <f t="shared" ref="G104:G106" si="3">SUM(D104:F104)</f>
        <v>778544.8</v>
      </c>
      <c r="H104" s="46">
        <f t="shared" si="2"/>
        <v>-859532.8600000001</v>
      </c>
    </row>
    <row r="105" spans="2:9" x14ac:dyDescent="0.35">
      <c r="B105" s="1">
        <v>9</v>
      </c>
      <c r="C105" s="1">
        <v>250</v>
      </c>
      <c r="D105" s="40">
        <f>PRODUCT(C105,D80)</f>
        <v>1037431</v>
      </c>
      <c r="E105" s="40">
        <f>PRODUCT(C105,SUMPRODUCT(E88:E91,H88:H91)-E88)+PRODUCT(SUM(C98:C104),SUMPRODUCT(E88:E91,H88:H91))</f>
        <v>1004700</v>
      </c>
      <c r="F105" s="2">
        <f>-E66</f>
        <v>-795100</v>
      </c>
      <c r="G105" s="46">
        <f t="shared" si="3"/>
        <v>1247031</v>
      </c>
      <c r="H105" s="46">
        <f t="shared" si="2"/>
        <v>387498.1399999999</v>
      </c>
      <c r="I105" t="s">
        <v>167</v>
      </c>
    </row>
    <row r="106" spans="2:9" x14ac:dyDescent="0.35">
      <c r="B106" s="1">
        <v>10</v>
      </c>
      <c r="C106" s="1">
        <v>300</v>
      </c>
      <c r="D106" s="40">
        <f>PRODUCT(C106,D80)</f>
        <v>1244917.2</v>
      </c>
      <c r="E106" s="40">
        <f>PRODUCT(C106,SUMPRODUCT(E88:E91,H88:H91)-E88)+PRODUCT(SUM(C98:C105),SUMPRODUCT(E88:E91,H88:H91))</f>
        <v>1320300</v>
      </c>
      <c r="F106" s="2">
        <f>-E66</f>
        <v>-795100</v>
      </c>
      <c r="G106" s="46">
        <f t="shared" si="3"/>
        <v>1770117.2000000002</v>
      </c>
      <c r="H106" s="46">
        <f t="shared" si="2"/>
        <v>2157615.34</v>
      </c>
    </row>
  </sheetData>
  <mergeCells count="25">
    <mergeCell ref="B94:H94"/>
    <mergeCell ref="C85:L85"/>
    <mergeCell ref="I76:J76"/>
    <mergeCell ref="I77:J77"/>
    <mergeCell ref="I78:J78"/>
    <mergeCell ref="I79:J79"/>
    <mergeCell ref="I80:J80"/>
    <mergeCell ref="B69:L69"/>
    <mergeCell ref="B71:L71"/>
    <mergeCell ref="C72:L72"/>
    <mergeCell ref="C74:D74"/>
    <mergeCell ref="H75:J75"/>
    <mergeCell ref="B66:D66"/>
    <mergeCell ref="B39:L39"/>
    <mergeCell ref="B41:E41"/>
    <mergeCell ref="B50:E50"/>
    <mergeCell ref="B61:E61"/>
    <mergeCell ref="B65:D65"/>
    <mergeCell ref="B56:E56"/>
    <mergeCell ref="B29:C29"/>
    <mergeCell ref="B2:L2"/>
    <mergeCell ref="B3:F3"/>
    <mergeCell ref="H3:L3"/>
    <mergeCell ref="H22:K22"/>
    <mergeCell ref="B27:E27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C863-9F8A-44AC-94F6-0A84F3D763D3}">
  <dimension ref="B2:L106"/>
  <sheetViews>
    <sheetView tabSelected="1" topLeftCell="B95" zoomScale="77" zoomScaleNormal="115" workbookViewId="0">
      <selection activeCell="H140" sqref="H140"/>
    </sheetView>
  </sheetViews>
  <sheetFormatPr defaultRowHeight="14.5" x14ac:dyDescent="0.35"/>
  <cols>
    <col min="2" max="2" width="29.453125" customWidth="1"/>
    <col min="3" max="3" width="22" customWidth="1"/>
    <col min="4" max="4" width="16.81640625" customWidth="1"/>
    <col min="5" max="5" width="15.1796875" customWidth="1"/>
    <col min="6" max="6" width="12.90625" customWidth="1"/>
    <col min="7" max="7" width="15.453125" customWidth="1"/>
    <col min="8" max="8" width="25.54296875" customWidth="1"/>
    <col min="9" max="9" width="20.1796875" customWidth="1"/>
    <col min="10" max="10" width="16" customWidth="1"/>
    <col min="12" max="12" width="8.7265625" customWidth="1"/>
  </cols>
  <sheetData>
    <row r="2" spans="2:12" ht="28.5" x14ac:dyDescent="0.65">
      <c r="B2" s="64" t="s">
        <v>69</v>
      </c>
      <c r="C2" s="64"/>
      <c r="D2" s="64"/>
      <c r="E2" s="64"/>
      <c r="F2" s="64"/>
      <c r="G2" s="64"/>
      <c r="H2" s="64"/>
      <c r="I2" s="64"/>
      <c r="J2" s="64"/>
      <c r="K2" s="64"/>
      <c r="L2" s="64"/>
    </row>
    <row r="3" spans="2:12" ht="21" x14ac:dyDescent="0.5">
      <c r="B3" s="72" t="s">
        <v>49</v>
      </c>
      <c r="C3" s="72"/>
      <c r="D3" s="72"/>
      <c r="E3" s="72"/>
      <c r="F3" s="72"/>
      <c r="H3" s="72" t="s">
        <v>48</v>
      </c>
      <c r="I3" s="72"/>
      <c r="J3" s="72"/>
      <c r="K3" s="72"/>
      <c r="L3" s="72"/>
    </row>
    <row r="4" spans="2:12" ht="15" thickBot="1" x14ac:dyDescent="0.4">
      <c r="B4" s="4" t="s">
        <v>43</v>
      </c>
      <c r="C4" s="4" t="s">
        <v>39</v>
      </c>
      <c r="D4" s="4" t="s">
        <v>40</v>
      </c>
      <c r="E4" s="4" t="s">
        <v>41</v>
      </c>
      <c r="F4" s="4" t="s">
        <v>42</v>
      </c>
      <c r="H4" s="4" t="s">
        <v>43</v>
      </c>
      <c r="I4" s="4" t="s">
        <v>39</v>
      </c>
      <c r="J4" s="4" t="s">
        <v>40</v>
      </c>
      <c r="K4" s="4" t="s">
        <v>41</v>
      </c>
      <c r="L4" s="4" t="s">
        <v>42</v>
      </c>
    </row>
    <row r="5" spans="2:12" x14ac:dyDescent="0.35">
      <c r="B5" t="s">
        <v>33</v>
      </c>
      <c r="C5" t="s">
        <v>21</v>
      </c>
      <c r="D5" s="1" t="s">
        <v>22</v>
      </c>
      <c r="E5" s="1">
        <v>1</v>
      </c>
      <c r="F5" s="3">
        <v>11.9</v>
      </c>
      <c r="I5" t="s">
        <v>47</v>
      </c>
      <c r="J5" s="1" t="s">
        <v>22</v>
      </c>
      <c r="K5" s="1">
        <v>1</v>
      </c>
      <c r="L5" s="3">
        <v>39.86</v>
      </c>
    </row>
    <row r="6" spans="2:12" x14ac:dyDescent="0.35">
      <c r="C6" t="s">
        <v>0</v>
      </c>
      <c r="D6" s="1" t="s">
        <v>136</v>
      </c>
      <c r="E6" s="1">
        <v>3</v>
      </c>
      <c r="F6" s="3">
        <v>9.86</v>
      </c>
      <c r="H6" t="s">
        <v>88</v>
      </c>
      <c r="I6" t="s">
        <v>50</v>
      </c>
      <c r="J6" s="1" t="s">
        <v>51</v>
      </c>
      <c r="K6" s="1">
        <v>1</v>
      </c>
      <c r="L6" s="3">
        <v>66.900000000000006</v>
      </c>
    </row>
    <row r="7" spans="2:12" x14ac:dyDescent="0.35">
      <c r="B7" t="s">
        <v>34</v>
      </c>
      <c r="C7" t="s">
        <v>1</v>
      </c>
      <c r="D7" s="1" t="s">
        <v>5</v>
      </c>
      <c r="E7" s="1">
        <v>1</v>
      </c>
      <c r="F7" s="3">
        <v>13.58</v>
      </c>
      <c r="I7" t="s">
        <v>57</v>
      </c>
      <c r="J7" s="1" t="s">
        <v>141</v>
      </c>
      <c r="K7" s="1">
        <v>1</v>
      </c>
      <c r="L7" s="3">
        <v>24.95</v>
      </c>
    </row>
    <row r="8" spans="2:12" x14ac:dyDescent="0.35">
      <c r="C8" t="s">
        <v>4</v>
      </c>
      <c r="D8" s="1" t="s">
        <v>7</v>
      </c>
      <c r="E8" s="1">
        <v>1</v>
      </c>
      <c r="F8" s="3">
        <v>8.6999999999999993</v>
      </c>
      <c r="I8" t="s">
        <v>25</v>
      </c>
      <c r="J8" s="1" t="s">
        <v>137</v>
      </c>
      <c r="K8" s="1">
        <v>1</v>
      </c>
      <c r="L8" s="3">
        <v>6.67</v>
      </c>
    </row>
    <row r="9" spans="2:12" x14ac:dyDescent="0.35">
      <c r="C9" t="s">
        <v>2</v>
      </c>
      <c r="D9" s="1" t="s">
        <v>8</v>
      </c>
      <c r="E9" s="1">
        <v>1</v>
      </c>
      <c r="F9" s="3">
        <v>22.11</v>
      </c>
      <c r="I9" t="s">
        <v>11</v>
      </c>
      <c r="J9" s="1" t="s">
        <v>138</v>
      </c>
      <c r="K9" s="1">
        <v>1</v>
      </c>
      <c r="L9" s="3">
        <v>1.05</v>
      </c>
    </row>
    <row r="10" spans="2:12" x14ac:dyDescent="0.35">
      <c r="C10" t="s">
        <v>6</v>
      </c>
      <c r="D10" s="1" t="s">
        <v>9</v>
      </c>
      <c r="E10" s="1">
        <v>1</v>
      </c>
      <c r="F10" s="3">
        <v>23.11</v>
      </c>
      <c r="I10" t="s">
        <v>16</v>
      </c>
      <c r="J10" s="1" t="s">
        <v>10</v>
      </c>
      <c r="K10" s="1">
        <v>1</v>
      </c>
      <c r="L10" s="3">
        <v>19.95</v>
      </c>
    </row>
    <row r="11" spans="2:12" x14ac:dyDescent="0.35">
      <c r="C11" t="s">
        <v>25</v>
      </c>
      <c r="D11" s="1" t="s">
        <v>137</v>
      </c>
      <c r="E11" s="1">
        <v>1</v>
      </c>
      <c r="F11" s="3">
        <v>6.67</v>
      </c>
      <c r="I11" t="s">
        <v>52</v>
      </c>
      <c r="J11" s="1" t="s">
        <v>28</v>
      </c>
      <c r="K11" s="1">
        <v>1</v>
      </c>
      <c r="L11" s="3">
        <v>8.5</v>
      </c>
    </row>
    <row r="12" spans="2:12" x14ac:dyDescent="0.35">
      <c r="C12" t="s">
        <v>11</v>
      </c>
      <c r="D12" s="1" t="s">
        <v>138</v>
      </c>
      <c r="E12" s="1">
        <v>1</v>
      </c>
      <c r="F12" s="3">
        <v>1.05</v>
      </c>
      <c r="I12" t="s">
        <v>53</v>
      </c>
      <c r="J12" s="1" t="s">
        <v>56</v>
      </c>
      <c r="K12" s="1">
        <v>1</v>
      </c>
      <c r="L12" s="3">
        <v>0.05</v>
      </c>
    </row>
    <row r="13" spans="2:12" x14ac:dyDescent="0.35">
      <c r="C13" t="s">
        <v>16</v>
      </c>
      <c r="D13" s="1" t="s">
        <v>10</v>
      </c>
      <c r="E13" s="1">
        <v>1</v>
      </c>
      <c r="F13" s="3">
        <v>19.95</v>
      </c>
      <c r="I13" t="s">
        <v>54</v>
      </c>
      <c r="J13" s="1" t="s">
        <v>55</v>
      </c>
      <c r="K13" s="1">
        <v>1</v>
      </c>
      <c r="L13" s="3">
        <v>0.05</v>
      </c>
    </row>
    <row r="14" spans="2:12" x14ac:dyDescent="0.35">
      <c r="C14" t="s">
        <v>3</v>
      </c>
      <c r="D14" s="1" t="s">
        <v>12</v>
      </c>
      <c r="E14" s="1">
        <v>1</v>
      </c>
      <c r="F14" s="3">
        <v>12.4</v>
      </c>
      <c r="I14" t="s">
        <v>60</v>
      </c>
      <c r="J14" s="1" t="s">
        <v>60</v>
      </c>
      <c r="K14" s="1">
        <v>1</v>
      </c>
      <c r="L14" s="3">
        <v>1.5</v>
      </c>
    </row>
    <row r="15" spans="2:12" x14ac:dyDescent="0.35">
      <c r="C15" t="s">
        <v>13</v>
      </c>
      <c r="D15" s="1" t="s">
        <v>18</v>
      </c>
      <c r="E15" s="1">
        <v>1</v>
      </c>
      <c r="F15" s="3">
        <v>0.33</v>
      </c>
      <c r="I15" t="s">
        <v>66</v>
      </c>
      <c r="J15" s="1" t="s">
        <v>64</v>
      </c>
      <c r="K15" s="1">
        <v>1</v>
      </c>
      <c r="L15" s="3">
        <v>35</v>
      </c>
    </row>
    <row r="16" spans="2:12" x14ac:dyDescent="0.35">
      <c r="C16" t="s">
        <v>14</v>
      </c>
      <c r="D16" s="1" t="s">
        <v>19</v>
      </c>
      <c r="E16" s="1">
        <v>1</v>
      </c>
      <c r="F16" s="3">
        <v>2.64</v>
      </c>
      <c r="I16" t="s">
        <v>62</v>
      </c>
      <c r="J16" s="1" t="s">
        <v>63</v>
      </c>
      <c r="K16" s="1">
        <v>1</v>
      </c>
      <c r="L16" s="3">
        <v>10</v>
      </c>
    </row>
    <row r="17" spans="2:12" x14ac:dyDescent="0.35">
      <c r="C17" t="s">
        <v>15</v>
      </c>
      <c r="D17" s="1" t="s">
        <v>20</v>
      </c>
      <c r="E17" s="1">
        <v>1</v>
      </c>
      <c r="F17" s="3">
        <v>0.32</v>
      </c>
      <c r="I17" t="s">
        <v>58</v>
      </c>
      <c r="J17" s="1" t="s">
        <v>59</v>
      </c>
      <c r="K17" s="1">
        <v>1</v>
      </c>
      <c r="L17" s="3">
        <v>15</v>
      </c>
    </row>
    <row r="18" spans="2:12" x14ac:dyDescent="0.35">
      <c r="B18" t="s">
        <v>35</v>
      </c>
      <c r="C18" t="s">
        <v>17</v>
      </c>
      <c r="D18" s="1" t="s">
        <v>23</v>
      </c>
      <c r="E18" s="1">
        <v>1</v>
      </c>
      <c r="F18" s="3">
        <v>5.95</v>
      </c>
      <c r="H18" t="s">
        <v>38</v>
      </c>
      <c r="I18" t="s">
        <v>26</v>
      </c>
      <c r="J18" s="1" t="s">
        <v>28</v>
      </c>
      <c r="K18" s="1">
        <v>1</v>
      </c>
      <c r="L18" s="3">
        <v>5</v>
      </c>
    </row>
    <row r="19" spans="2:12" x14ac:dyDescent="0.35">
      <c r="B19" t="s">
        <v>37</v>
      </c>
      <c r="C19" t="s">
        <v>61</v>
      </c>
      <c r="D19" s="1" t="s">
        <v>139</v>
      </c>
      <c r="E19" s="1">
        <v>1</v>
      </c>
      <c r="F19" s="3">
        <v>10</v>
      </c>
      <c r="H19" t="s">
        <v>38</v>
      </c>
      <c r="I19" t="s">
        <v>27</v>
      </c>
      <c r="J19" s="1" t="s">
        <v>28</v>
      </c>
      <c r="K19" s="1">
        <v>1</v>
      </c>
      <c r="L19" s="3">
        <v>8</v>
      </c>
    </row>
    <row r="20" spans="2:12" x14ac:dyDescent="0.35">
      <c r="B20" t="s">
        <v>36</v>
      </c>
      <c r="C20" t="s">
        <v>24</v>
      </c>
      <c r="D20" s="1" t="s">
        <v>140</v>
      </c>
      <c r="E20" s="1">
        <v>1</v>
      </c>
      <c r="F20" s="3">
        <v>6.4</v>
      </c>
      <c r="H20" t="s">
        <v>46</v>
      </c>
      <c r="I20" t="s">
        <v>31</v>
      </c>
      <c r="J20" s="1" t="s">
        <v>28</v>
      </c>
      <c r="K20" s="1">
        <v>1</v>
      </c>
      <c r="L20" s="3">
        <v>5</v>
      </c>
    </row>
    <row r="21" spans="2:12" ht="15" thickBot="1" x14ac:dyDescent="0.4">
      <c r="C21" t="s">
        <v>29</v>
      </c>
      <c r="D21" s="1" t="s">
        <v>30</v>
      </c>
      <c r="E21" s="1">
        <v>2</v>
      </c>
      <c r="F21" s="3">
        <v>0.68</v>
      </c>
      <c r="H21" s="13"/>
      <c r="I21" s="13" t="s">
        <v>44</v>
      </c>
      <c r="J21" s="12" t="s">
        <v>28</v>
      </c>
      <c r="K21" s="12">
        <v>1</v>
      </c>
      <c r="L21" s="17">
        <v>20</v>
      </c>
    </row>
    <row r="22" spans="2:12" ht="15" thickBot="1" x14ac:dyDescent="0.4">
      <c r="B22" t="s">
        <v>38</v>
      </c>
      <c r="C22" t="s">
        <v>26</v>
      </c>
      <c r="D22" s="1" t="s">
        <v>28</v>
      </c>
      <c r="E22" s="1">
        <v>1</v>
      </c>
      <c r="F22" s="3">
        <v>5</v>
      </c>
      <c r="H22" s="73" t="s">
        <v>32</v>
      </c>
      <c r="I22" s="73"/>
      <c r="J22" s="73"/>
      <c r="K22" s="73"/>
      <c r="L22" s="14">
        <f>SUM(L5:L21)</f>
        <v>267.48</v>
      </c>
    </row>
    <row r="23" spans="2:12" x14ac:dyDescent="0.35">
      <c r="B23" t="s">
        <v>38</v>
      </c>
      <c r="C23" t="s">
        <v>27</v>
      </c>
      <c r="D23" s="1" t="s">
        <v>28</v>
      </c>
      <c r="E23" s="1">
        <v>1</v>
      </c>
      <c r="F23" s="3">
        <v>8</v>
      </c>
    </row>
    <row r="24" spans="2:12" x14ac:dyDescent="0.35">
      <c r="B24" t="s">
        <v>46</v>
      </c>
      <c r="C24" t="s">
        <v>31</v>
      </c>
      <c r="D24" s="1" t="s">
        <v>28</v>
      </c>
      <c r="E24" s="1">
        <v>5</v>
      </c>
      <c r="F24" s="3">
        <v>5</v>
      </c>
    </row>
    <row r="25" spans="2:12" x14ac:dyDescent="0.35">
      <c r="C25" t="s">
        <v>44</v>
      </c>
      <c r="D25" s="1" t="s">
        <v>28</v>
      </c>
      <c r="E25" s="1">
        <v>1</v>
      </c>
      <c r="F25" s="3">
        <v>20</v>
      </c>
    </row>
    <row r="26" spans="2:12" ht="15" thickBot="1" x14ac:dyDescent="0.4">
      <c r="B26" s="13"/>
      <c r="C26" s="13" t="s">
        <v>45</v>
      </c>
      <c r="D26" s="12" t="s">
        <v>28</v>
      </c>
      <c r="E26" s="12">
        <v>1</v>
      </c>
      <c r="F26" s="17">
        <v>50</v>
      </c>
    </row>
    <row r="27" spans="2:12" ht="15" thickBot="1" x14ac:dyDescent="0.4">
      <c r="B27" s="73" t="s">
        <v>32</v>
      </c>
      <c r="C27" s="73"/>
      <c r="D27" s="73"/>
      <c r="E27" s="73"/>
      <c r="F27" s="14">
        <f>SUMPRODUCT(E5:E26,F5:F26)</f>
        <v>284.04999999999995</v>
      </c>
    </row>
    <row r="29" spans="2:12" ht="16" x14ac:dyDescent="0.4">
      <c r="B29" s="71" t="s">
        <v>67</v>
      </c>
      <c r="C29" s="71"/>
    </row>
    <row r="30" spans="2:12" ht="18.5" customHeight="1" x14ac:dyDescent="0.45">
      <c r="B30" s="50" t="s">
        <v>149</v>
      </c>
      <c r="C30" s="51">
        <f>SUM(5*F27,L22)</f>
        <v>1687.7299999999998</v>
      </c>
    </row>
    <row r="31" spans="2:12" ht="18.5" customHeight="1" x14ac:dyDescent="0.45">
      <c r="B31" s="49" t="s">
        <v>144</v>
      </c>
      <c r="C31" s="51">
        <f>C30*0.15</f>
        <v>253.15949999999995</v>
      </c>
    </row>
    <row r="32" spans="2:12" ht="18.5" x14ac:dyDescent="0.45">
      <c r="B32" s="49" t="s">
        <v>145</v>
      </c>
      <c r="C32" s="52">
        <v>150</v>
      </c>
    </row>
    <row r="33" spans="2:12" ht="18.5" x14ac:dyDescent="0.45">
      <c r="B33" s="49" t="s">
        <v>146</v>
      </c>
      <c r="C33" s="52">
        <v>50</v>
      </c>
    </row>
    <row r="34" spans="2:12" ht="18.5" x14ac:dyDescent="0.45">
      <c r="B34" s="49" t="s">
        <v>147</v>
      </c>
      <c r="C34" s="52">
        <f>C30*0.05</f>
        <v>84.386499999999998</v>
      </c>
    </row>
    <row r="36" spans="2:12" ht="21" x14ac:dyDescent="0.5">
      <c r="B36" s="53" t="s">
        <v>148</v>
      </c>
      <c r="C36" s="6">
        <f>SUM(C30:C34)</f>
        <v>2225.2759999999998</v>
      </c>
    </row>
    <row r="37" spans="2:12" ht="15" customHeight="1" x14ac:dyDescent="0.5">
      <c r="B37" s="53"/>
      <c r="C37" s="6"/>
    </row>
    <row r="38" spans="2:12" ht="15" customHeight="1" x14ac:dyDescent="0.5">
      <c r="B38" s="11"/>
      <c r="C38" s="6"/>
    </row>
    <row r="39" spans="2:12" ht="28.5" x14ac:dyDescent="0.65">
      <c r="B39" s="64" t="s">
        <v>68</v>
      </c>
      <c r="C39" s="64"/>
      <c r="D39" s="64"/>
      <c r="E39" s="64"/>
      <c r="F39" s="64"/>
      <c r="G39" s="64"/>
      <c r="H39" s="64"/>
      <c r="I39" s="64"/>
      <c r="J39" s="64"/>
      <c r="K39" s="64"/>
      <c r="L39" s="64"/>
    </row>
    <row r="40" spans="2:12" ht="15" thickBot="1" x14ac:dyDescent="0.4">
      <c r="B40" s="4" t="s">
        <v>81</v>
      </c>
      <c r="C40" s="4" t="s">
        <v>82</v>
      </c>
      <c r="D40" s="4" t="s">
        <v>41</v>
      </c>
      <c r="E40" s="4" t="s">
        <v>79</v>
      </c>
    </row>
    <row r="41" spans="2:12" ht="15" customHeight="1" thickBot="1" x14ac:dyDescent="0.4">
      <c r="B41" s="65" t="s">
        <v>70</v>
      </c>
      <c r="C41" s="65"/>
      <c r="D41" s="65"/>
      <c r="E41" s="65"/>
    </row>
    <row r="42" spans="2:12" x14ac:dyDescent="0.35">
      <c r="B42" t="s">
        <v>150</v>
      </c>
      <c r="C42" s="1" t="s">
        <v>78</v>
      </c>
      <c r="D42" s="1">
        <v>1</v>
      </c>
      <c r="E42" s="2">
        <v>600</v>
      </c>
    </row>
    <row r="43" spans="2:12" x14ac:dyDescent="0.35">
      <c r="B43" t="s">
        <v>71</v>
      </c>
      <c r="C43" s="1" t="s">
        <v>78</v>
      </c>
      <c r="D43" s="1">
        <v>1</v>
      </c>
      <c r="E43" s="2">
        <v>2400</v>
      </c>
    </row>
    <row r="44" spans="2:12" x14ac:dyDescent="0.35">
      <c r="B44" t="s">
        <v>77</v>
      </c>
      <c r="C44" s="1" t="s">
        <v>78</v>
      </c>
      <c r="D44" s="1">
        <v>1</v>
      </c>
      <c r="E44" s="2">
        <v>400</v>
      </c>
    </row>
    <row r="45" spans="2:12" x14ac:dyDescent="0.35">
      <c r="B45" t="s">
        <v>143</v>
      </c>
      <c r="C45" s="1" t="s">
        <v>78</v>
      </c>
      <c r="D45" s="1">
        <v>1</v>
      </c>
      <c r="E45" s="2">
        <v>15000</v>
      </c>
    </row>
    <row r="46" spans="2:12" x14ac:dyDescent="0.35">
      <c r="B46" t="s">
        <v>83</v>
      </c>
      <c r="C46" s="1" t="s">
        <v>78</v>
      </c>
      <c r="D46" s="1">
        <v>1</v>
      </c>
      <c r="E46" s="2">
        <v>1200</v>
      </c>
    </row>
    <row r="47" spans="2:12" x14ac:dyDescent="0.35">
      <c r="B47" t="s">
        <v>154</v>
      </c>
      <c r="C47" s="1" t="s">
        <v>78</v>
      </c>
      <c r="D47" s="1">
        <v>1</v>
      </c>
      <c r="E47" s="2">
        <v>3500</v>
      </c>
    </row>
    <row r="48" spans="2:12" x14ac:dyDescent="0.35">
      <c r="B48" t="s">
        <v>155</v>
      </c>
      <c r="C48" s="1" t="s">
        <v>78</v>
      </c>
      <c r="D48" s="1">
        <v>1</v>
      </c>
      <c r="E48" s="2">
        <v>15000</v>
      </c>
    </row>
    <row r="49" spans="2:10" ht="15" thickBot="1" x14ac:dyDescent="0.4">
      <c r="B49" s="13"/>
      <c r="C49" s="13"/>
      <c r="D49" s="13"/>
      <c r="E49" s="14"/>
    </row>
    <row r="50" spans="2:10" ht="15" thickBot="1" x14ac:dyDescent="0.4">
      <c r="B50" s="66" t="s">
        <v>151</v>
      </c>
      <c r="C50" s="66"/>
      <c r="D50" s="66"/>
      <c r="E50" s="66"/>
    </row>
    <row r="51" spans="2:10" x14ac:dyDescent="0.35">
      <c r="B51" t="s">
        <v>72</v>
      </c>
      <c r="C51" s="1" t="s">
        <v>78</v>
      </c>
      <c r="D51" s="1">
        <v>0</v>
      </c>
      <c r="E51" s="2">
        <v>37200</v>
      </c>
    </row>
    <row r="52" spans="2:10" x14ac:dyDescent="0.35">
      <c r="B52" t="s">
        <v>73</v>
      </c>
      <c r="C52" s="1" t="s">
        <v>78</v>
      </c>
      <c r="D52" s="1">
        <v>2</v>
      </c>
      <c r="E52" s="2">
        <v>54000</v>
      </c>
    </row>
    <row r="53" spans="2:10" x14ac:dyDescent="0.35">
      <c r="B53" t="s">
        <v>75</v>
      </c>
      <c r="C53" s="1" t="s">
        <v>78</v>
      </c>
      <c r="D53" s="1">
        <v>1</v>
      </c>
      <c r="E53" s="2">
        <v>72000</v>
      </c>
    </row>
    <row r="54" spans="2:10" x14ac:dyDescent="0.35">
      <c r="B54" t="s">
        <v>74</v>
      </c>
      <c r="C54" s="1" t="s">
        <v>78</v>
      </c>
      <c r="D54" s="1">
        <v>1</v>
      </c>
      <c r="E54" s="2">
        <v>57600</v>
      </c>
      <c r="J54" t="s">
        <v>170</v>
      </c>
    </row>
    <row r="55" spans="2:10" ht="15" thickBot="1" x14ac:dyDescent="0.4">
      <c r="B55" s="13"/>
      <c r="C55" s="12"/>
      <c r="D55" s="12"/>
      <c r="E55" s="14"/>
      <c r="J55" t="s">
        <v>169</v>
      </c>
    </row>
    <row r="56" spans="2:10" ht="15" thickBot="1" x14ac:dyDescent="0.4">
      <c r="B56" s="66" t="s">
        <v>165</v>
      </c>
      <c r="C56" s="66"/>
      <c r="D56" s="66"/>
      <c r="E56" s="66"/>
      <c r="J56" t="s">
        <v>172</v>
      </c>
    </row>
    <row r="57" spans="2:10" x14ac:dyDescent="0.35">
      <c r="B57" t="s">
        <v>156</v>
      </c>
      <c r="C57" s="1" t="s">
        <v>78</v>
      </c>
      <c r="D57" s="1">
        <v>1</v>
      </c>
      <c r="E57" s="2">
        <v>25000</v>
      </c>
      <c r="J57" t="s">
        <v>173</v>
      </c>
    </row>
    <row r="58" spans="2:10" x14ac:dyDescent="0.35">
      <c r="B58" t="s">
        <v>157</v>
      </c>
      <c r="C58" s="1" t="s">
        <v>78</v>
      </c>
      <c r="D58" s="1">
        <v>2</v>
      </c>
      <c r="E58" s="2">
        <v>28000</v>
      </c>
    </row>
    <row r="59" spans="2:10" x14ac:dyDescent="0.35">
      <c r="B59" t="s">
        <v>158</v>
      </c>
      <c r="C59" s="1" t="s">
        <v>78</v>
      </c>
      <c r="D59" s="1">
        <v>5</v>
      </c>
      <c r="E59" s="2">
        <v>32400</v>
      </c>
    </row>
    <row r="60" spans="2:10" ht="15" thickBot="1" x14ac:dyDescent="0.4">
      <c r="B60" s="13"/>
      <c r="C60" s="13"/>
      <c r="D60" s="13"/>
      <c r="E60" s="13"/>
    </row>
    <row r="61" spans="2:10" ht="15" thickBot="1" x14ac:dyDescent="0.4">
      <c r="B61" s="66" t="s">
        <v>84</v>
      </c>
      <c r="C61" s="66"/>
      <c r="D61" s="66"/>
      <c r="E61" s="66"/>
    </row>
    <row r="62" spans="2:10" x14ac:dyDescent="0.35">
      <c r="B62" s="48" t="s">
        <v>152</v>
      </c>
      <c r="C62" s="1" t="s">
        <v>78</v>
      </c>
      <c r="D62" s="54">
        <v>0.1</v>
      </c>
      <c r="E62" s="55">
        <f>500000*0.1</f>
        <v>50000</v>
      </c>
    </row>
    <row r="63" spans="2:10" x14ac:dyDescent="0.35">
      <c r="B63" t="s">
        <v>153</v>
      </c>
      <c r="C63" s="1" t="s">
        <v>78</v>
      </c>
      <c r="D63" s="54">
        <v>0.1</v>
      </c>
      <c r="E63" s="2">
        <v>70000</v>
      </c>
    </row>
    <row r="64" spans="2:10" ht="15" thickBot="1" x14ac:dyDescent="0.4">
      <c r="B64" s="13" t="s">
        <v>86</v>
      </c>
      <c r="C64" s="12" t="s">
        <v>78</v>
      </c>
      <c r="D64" s="12">
        <v>1</v>
      </c>
      <c r="E64" s="14">
        <v>10000</v>
      </c>
    </row>
    <row r="65" spans="2:12" ht="15" thickBot="1" x14ac:dyDescent="0.4">
      <c r="B65" s="67" t="s">
        <v>159</v>
      </c>
      <c r="C65" s="67"/>
      <c r="D65" s="67"/>
      <c r="E65" s="15">
        <f>SUMPRODUCT(D42:D48,E42:E48) + SUMPRODUCT(D51:D54,E51:E54) + SUMPRODUCT(D62:D64,E62:E64)</f>
        <v>297700</v>
      </c>
    </row>
    <row r="66" spans="2:12" ht="15" thickBot="1" x14ac:dyDescent="0.4">
      <c r="B66" s="67" t="s">
        <v>164</v>
      </c>
      <c r="C66" s="67"/>
      <c r="D66" s="67"/>
      <c r="E66" s="15">
        <f>SUMPRODUCT(D42:D48,E42:E48) + SUMPRODUCT(D51:D54,E51:E54) + + SUMPRODUCT(D57:D59,E57:E59) + SUMPRODUCT(D62:D64,E62:E64)</f>
        <v>540700</v>
      </c>
    </row>
    <row r="69" spans="2:12" ht="28.5" x14ac:dyDescent="0.65">
      <c r="B69" s="68" t="s">
        <v>121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</row>
    <row r="70" spans="2:12" ht="21" x14ac:dyDescent="0.5">
      <c r="B70" s="30" t="s">
        <v>89</v>
      </c>
    </row>
    <row r="71" spans="2:12" x14ac:dyDescent="0.35">
      <c r="B71" s="69" t="s">
        <v>111</v>
      </c>
      <c r="C71" s="69"/>
      <c r="D71" s="69"/>
      <c r="E71" s="69"/>
      <c r="F71" s="69"/>
      <c r="G71" s="69"/>
      <c r="H71" s="69"/>
      <c r="I71" s="69"/>
      <c r="J71" s="69"/>
      <c r="K71" s="69"/>
      <c r="L71" s="69"/>
    </row>
    <row r="72" spans="2:12" ht="31" customHeight="1" x14ac:dyDescent="0.35">
      <c r="B72" s="9" t="s">
        <v>90</v>
      </c>
      <c r="C72" s="62" t="s">
        <v>109</v>
      </c>
      <c r="D72" s="62"/>
      <c r="E72" s="62"/>
      <c r="F72" s="62"/>
      <c r="G72" s="62"/>
      <c r="H72" s="62"/>
      <c r="I72" s="62"/>
      <c r="J72" s="62"/>
      <c r="K72" s="62"/>
      <c r="L72" s="62"/>
    </row>
    <row r="74" spans="2:12" ht="18.5" x14ac:dyDescent="0.45">
      <c r="C74" s="70" t="s">
        <v>135</v>
      </c>
      <c r="D74" s="70"/>
    </row>
    <row r="75" spans="2:12" ht="19" thickBot="1" x14ac:dyDescent="0.4">
      <c r="C75" s="4" t="s">
        <v>95</v>
      </c>
      <c r="D75" s="4" t="s">
        <v>79</v>
      </c>
      <c r="H75" s="63" t="s">
        <v>99</v>
      </c>
      <c r="I75" s="63"/>
      <c r="J75" s="63"/>
    </row>
    <row r="76" spans="2:12" ht="29.5" customHeight="1" thickBot="1" x14ac:dyDescent="0.4">
      <c r="C76" s="24" t="s">
        <v>160</v>
      </c>
      <c r="D76" s="23">
        <f>C36</f>
        <v>2225.2759999999998</v>
      </c>
      <c r="H76" s="27" t="s">
        <v>98</v>
      </c>
      <c r="I76" s="57" t="s">
        <v>161</v>
      </c>
      <c r="J76" s="57"/>
    </row>
    <row r="77" spans="2:12" x14ac:dyDescent="0.35">
      <c r="C77" s="24" t="s">
        <v>92</v>
      </c>
      <c r="D77" s="23">
        <v>7500</v>
      </c>
      <c r="H77" t="s">
        <v>100</v>
      </c>
      <c r="I77" s="58">
        <v>927</v>
      </c>
      <c r="J77" s="58"/>
    </row>
    <row r="78" spans="2:12" ht="29" x14ac:dyDescent="0.35">
      <c r="C78" s="24" t="s">
        <v>93</v>
      </c>
      <c r="D78" s="23">
        <f>PRODUCT(D77,-0.15)</f>
        <v>-1125</v>
      </c>
      <c r="H78" s="22" t="s">
        <v>168</v>
      </c>
      <c r="I78" s="59">
        <v>1057</v>
      </c>
      <c r="J78" s="59"/>
    </row>
    <row r="79" spans="2:12" ht="15" thickBot="1" x14ac:dyDescent="0.4">
      <c r="C79" s="25" t="s">
        <v>94</v>
      </c>
      <c r="D79" s="26">
        <f>D77+D78</f>
        <v>6375</v>
      </c>
      <c r="H79" t="s">
        <v>102</v>
      </c>
      <c r="I79" s="60">
        <v>150</v>
      </c>
      <c r="J79" s="60"/>
    </row>
    <row r="80" spans="2:12" ht="15" thickBot="1" x14ac:dyDescent="0.4">
      <c r="C80" s="21" t="s">
        <v>103</v>
      </c>
      <c r="D80" s="2">
        <f>D79-D76</f>
        <v>4149.7240000000002</v>
      </c>
      <c r="H80" s="19" t="s">
        <v>108</v>
      </c>
      <c r="I80" s="61">
        <f>QUOTIENT(D77,6)</f>
        <v>1250</v>
      </c>
      <c r="J80" s="61"/>
    </row>
    <row r="81" spans="2:12" ht="15" thickBot="1" x14ac:dyDescent="0.4">
      <c r="C81" s="16" t="s">
        <v>104</v>
      </c>
      <c r="D81" s="18">
        <f>(D80/D77)</f>
        <v>0.5532965333333334</v>
      </c>
    </row>
    <row r="83" spans="2:12" x14ac:dyDescent="0.35">
      <c r="H83" t="s">
        <v>110</v>
      </c>
    </row>
    <row r="85" spans="2:12" ht="32" customHeight="1" x14ac:dyDescent="0.35">
      <c r="B85" s="9" t="s">
        <v>107</v>
      </c>
      <c r="C85" s="62" t="s">
        <v>142</v>
      </c>
      <c r="D85" s="62"/>
      <c r="E85" s="62"/>
      <c r="F85" s="62"/>
      <c r="G85" s="62"/>
      <c r="H85" s="62"/>
      <c r="I85" s="62"/>
      <c r="J85" s="62"/>
      <c r="K85" s="62"/>
      <c r="L85" s="62"/>
    </row>
    <row r="87" spans="2:12" ht="29.5" thickBot="1" x14ac:dyDescent="0.4">
      <c r="C87" s="34" t="s">
        <v>113</v>
      </c>
      <c r="D87" s="27" t="s">
        <v>40</v>
      </c>
      <c r="E87" s="28" t="s">
        <v>162</v>
      </c>
      <c r="F87" s="28" t="s">
        <v>163</v>
      </c>
      <c r="G87" s="28" t="s">
        <v>112</v>
      </c>
      <c r="H87" s="28" t="s">
        <v>166</v>
      </c>
    </row>
    <row r="88" spans="2:12" ht="72.5" x14ac:dyDescent="0.35">
      <c r="C88" s="8" t="s">
        <v>134</v>
      </c>
      <c r="D88" s="31" t="s">
        <v>117</v>
      </c>
      <c r="E88" s="32">
        <v>240</v>
      </c>
      <c r="F88" s="32">
        <v>120</v>
      </c>
      <c r="G88" s="33">
        <f>1-(F88/E88)</f>
        <v>0.5</v>
      </c>
      <c r="H88" s="33">
        <v>1</v>
      </c>
    </row>
    <row r="89" spans="2:12" ht="87" x14ac:dyDescent="0.35">
      <c r="C89" s="8" t="s">
        <v>114</v>
      </c>
      <c r="D89" s="10" t="s">
        <v>118</v>
      </c>
      <c r="E89" s="32">
        <v>720</v>
      </c>
      <c r="F89" s="32">
        <v>250</v>
      </c>
      <c r="G89" s="33">
        <f t="shared" ref="G89:G91" si="0">1-(F89/E89)</f>
        <v>0.65277777777777779</v>
      </c>
      <c r="H89" s="33">
        <v>0.5</v>
      </c>
    </row>
    <row r="90" spans="2:12" ht="72.5" x14ac:dyDescent="0.35">
      <c r="C90" s="8" t="s">
        <v>175</v>
      </c>
      <c r="D90" s="10" t="s">
        <v>119</v>
      </c>
      <c r="E90" s="32">
        <v>780</v>
      </c>
      <c r="F90" s="32">
        <v>450</v>
      </c>
      <c r="G90" s="33">
        <f t="shared" si="0"/>
        <v>0.42307692307692313</v>
      </c>
      <c r="H90" s="33">
        <v>0.4</v>
      </c>
    </row>
    <row r="91" spans="2:12" ht="58.5" thickBot="1" x14ac:dyDescent="0.4">
      <c r="C91" s="36" t="s">
        <v>116</v>
      </c>
      <c r="D91" s="39" t="s">
        <v>120</v>
      </c>
      <c r="E91" s="37">
        <v>1800</v>
      </c>
      <c r="F91" s="37">
        <v>500</v>
      </c>
      <c r="G91" s="38">
        <f t="shared" si="0"/>
        <v>0.72222222222222221</v>
      </c>
      <c r="H91" s="38">
        <v>0.1</v>
      </c>
    </row>
    <row r="94" spans="2:12" ht="19" thickBot="1" x14ac:dyDescent="0.5">
      <c r="B94" s="56" t="s">
        <v>126</v>
      </c>
      <c r="C94" s="56"/>
      <c r="D94" s="56"/>
      <c r="E94" s="56"/>
      <c r="F94" s="56"/>
      <c r="G94" s="56"/>
      <c r="H94" s="56"/>
    </row>
    <row r="95" spans="2:12" ht="29.5" thickBot="1" x14ac:dyDescent="0.4">
      <c r="B95" s="42" t="s">
        <v>127</v>
      </c>
      <c r="C95" s="42" t="s">
        <v>174</v>
      </c>
      <c r="D95" s="42" t="s">
        <v>129</v>
      </c>
      <c r="E95" s="42" t="s">
        <v>130</v>
      </c>
      <c r="F95" s="42" t="s">
        <v>131</v>
      </c>
      <c r="G95" s="43" t="s">
        <v>132</v>
      </c>
      <c r="H95" s="42" t="s">
        <v>133</v>
      </c>
    </row>
    <row r="96" spans="2:12" x14ac:dyDescent="0.35">
      <c r="B96" s="1">
        <v>0</v>
      </c>
      <c r="C96" s="1">
        <v>0</v>
      </c>
      <c r="D96" s="40">
        <v>0</v>
      </c>
      <c r="E96" s="40">
        <v>0</v>
      </c>
      <c r="F96" s="40">
        <v>-50000</v>
      </c>
      <c r="G96" s="40">
        <v>-50000</v>
      </c>
      <c r="H96" s="40">
        <v>-50000</v>
      </c>
    </row>
    <row r="97" spans="2:9" x14ac:dyDescent="0.35">
      <c r="B97" s="1">
        <v>1</v>
      </c>
      <c r="C97" s="1">
        <v>10</v>
      </c>
      <c r="D97" s="40">
        <f>PRODUCT(C97,D80)</f>
        <v>41497.240000000005</v>
      </c>
      <c r="E97" s="40">
        <f>PRODUCT(C97,SUMPRODUCT(E88:E91,H88:H91)-E88)</f>
        <v>8520</v>
      </c>
      <c r="F97" s="41">
        <f>-E65</f>
        <v>-297700</v>
      </c>
      <c r="G97" s="40">
        <f>SUM(D97:F97)</f>
        <v>-247682.76</v>
      </c>
      <c r="H97" s="40">
        <f>H96+G97</f>
        <v>-297682.76</v>
      </c>
    </row>
    <row r="98" spans="2:9" x14ac:dyDescent="0.35">
      <c r="B98" s="1">
        <v>2</v>
      </c>
      <c r="C98" s="1">
        <v>25</v>
      </c>
      <c r="D98" s="40">
        <f>PRODUCT(C98,D80)</f>
        <v>103743.1</v>
      </c>
      <c r="E98" s="40">
        <f>PRODUCT(C98,SUMPRODUCT(E88:E91,H88:H91)-E88)+PRODUCT(C97,SUMPRODUCT(E88:E91,H88:H91))</f>
        <v>32220</v>
      </c>
      <c r="F98" s="41">
        <f>-E65</f>
        <v>-297700</v>
      </c>
      <c r="G98" s="40">
        <f t="shared" ref="G98:G101" si="1">SUM(D98:F98)</f>
        <v>-161736.9</v>
      </c>
      <c r="H98" s="40">
        <f t="shared" ref="H98:H106" si="2">H97+G98</f>
        <v>-459419.66000000003</v>
      </c>
      <c r="I98" t="s">
        <v>171</v>
      </c>
    </row>
    <row r="99" spans="2:9" x14ac:dyDescent="0.35">
      <c r="B99" s="1">
        <v>3</v>
      </c>
      <c r="C99" s="1">
        <v>50</v>
      </c>
      <c r="D99" s="40">
        <f>PRODUCT(C99,D80)</f>
        <v>207486.2</v>
      </c>
      <c r="E99" s="40">
        <f>PRODUCT(C99,SUMPRODUCT(E88:E91,H88:H91)-E88)+PRODUCT(SUM(C97:C98),SUMPRODUCT(E88:E91,H88:H91))</f>
        <v>80820</v>
      </c>
      <c r="F99" s="41">
        <f>-E66</f>
        <v>-540700</v>
      </c>
      <c r="G99" s="40">
        <f t="shared" si="1"/>
        <v>-252393.8</v>
      </c>
      <c r="H99" s="40">
        <f t="shared" si="2"/>
        <v>-711813.46</v>
      </c>
    </row>
    <row r="100" spans="2:9" x14ac:dyDescent="0.35">
      <c r="B100" s="1">
        <v>4</v>
      </c>
      <c r="C100" s="1">
        <v>75</v>
      </c>
      <c r="D100" s="40">
        <f>PRODUCT(C100,D80)</f>
        <v>311229.3</v>
      </c>
      <c r="E100" s="40">
        <f>PRODUCT(C100,SUMPRODUCT(E88:E91,H88:H91)-E88)+PRODUCT(SUM(C97:C99),SUMPRODUCT(E88:E91,H88:H91))</f>
        <v>156720</v>
      </c>
      <c r="F100" s="41">
        <f>-E66</f>
        <v>-540700</v>
      </c>
      <c r="G100" s="40">
        <f t="shared" si="1"/>
        <v>-72750.700000000012</v>
      </c>
      <c r="H100" s="40">
        <f t="shared" si="2"/>
        <v>-784564.15999999992</v>
      </c>
    </row>
    <row r="101" spans="2:9" x14ac:dyDescent="0.35">
      <c r="B101" s="1">
        <v>5</v>
      </c>
      <c r="C101" s="1">
        <v>100</v>
      </c>
      <c r="D101" s="46">
        <f>PRODUCT(C101,D80)</f>
        <v>414972.4</v>
      </c>
      <c r="E101" s="46">
        <f>PRODUCT(C101,SUMPRODUCT(E88:E91,H88:H91)-E88)+PRODUCT(SUM(C97:C100),SUMPRODUCT(E88:E91,H88:H91))</f>
        <v>259920</v>
      </c>
      <c r="F101" s="47">
        <f>-E66</f>
        <v>-540700</v>
      </c>
      <c r="G101" s="46">
        <f t="shared" si="1"/>
        <v>134192.40000000002</v>
      </c>
      <c r="H101" s="46">
        <f t="shared" si="2"/>
        <v>-650371.75999999989</v>
      </c>
    </row>
    <row r="102" spans="2:9" x14ac:dyDescent="0.35">
      <c r="B102" s="1">
        <v>6</v>
      </c>
      <c r="C102" s="1">
        <v>125</v>
      </c>
      <c r="D102" s="46">
        <f>PRODUCT(C102,D80)</f>
        <v>518715.5</v>
      </c>
      <c r="E102" s="46">
        <f>PRODUCT(C102,SUMPRODUCT(E88:E91,H88:H91)-E88)+PRODUCT(SUM(C97:C101),SUMPRODUCT(E88:E91,H88:H91))</f>
        <v>390420</v>
      </c>
      <c r="F102" s="47">
        <f>-E66</f>
        <v>-540700</v>
      </c>
      <c r="G102" s="46">
        <f>SUM(D102:F102)</f>
        <v>368435.5</v>
      </c>
      <c r="H102" s="46">
        <f t="shared" si="2"/>
        <v>-281936.25999999989</v>
      </c>
    </row>
    <row r="103" spans="2:9" x14ac:dyDescent="0.35">
      <c r="B103" s="1">
        <v>7</v>
      </c>
      <c r="C103" s="1">
        <v>150</v>
      </c>
      <c r="D103" s="46">
        <f>PRODUCT(C103,D80)</f>
        <v>622458.6</v>
      </c>
      <c r="E103" s="46">
        <f>PRODUCT(C103,SUMPRODUCT(E88:E91,H88:H91)-E88)+PRODUCT(SUM(C98:C102),SUMPRODUCT(E88:E91,H88:H91))</f>
        <v>537300</v>
      </c>
      <c r="F103" s="47">
        <f>-E66</f>
        <v>-540700</v>
      </c>
      <c r="G103" s="46">
        <f>SUM(D103:F103)</f>
        <v>619058.60000000009</v>
      </c>
      <c r="H103" s="46">
        <f t="shared" si="2"/>
        <v>337122.3400000002</v>
      </c>
    </row>
    <row r="104" spans="2:9" x14ac:dyDescent="0.35">
      <c r="B104" s="1">
        <v>8</v>
      </c>
      <c r="C104" s="1">
        <v>200</v>
      </c>
      <c r="D104" s="40">
        <f>PRODUCT(C104,D80)</f>
        <v>829944.8</v>
      </c>
      <c r="E104" s="40">
        <f>PRODUCT(C104,SUMPRODUCT(E88:E91,H88:H91)-E88)+PRODUCT(SUM(C98:C103),SUMPRODUCT(E88:E91,H88:H91))</f>
        <v>743700</v>
      </c>
      <c r="F104" s="2">
        <f>-E66</f>
        <v>-540700</v>
      </c>
      <c r="G104" s="46">
        <f t="shared" ref="G104:G106" si="3">SUM(D104:F104)</f>
        <v>1032944.8</v>
      </c>
      <c r="H104" s="46">
        <f t="shared" si="2"/>
        <v>1370067.1400000001</v>
      </c>
    </row>
    <row r="105" spans="2:9" x14ac:dyDescent="0.35">
      <c r="B105" s="1">
        <v>9</v>
      </c>
      <c r="C105" s="1">
        <v>250</v>
      </c>
      <c r="D105" s="40">
        <f>PRODUCT(C105,D80)</f>
        <v>1037431</v>
      </c>
      <c r="E105" s="40">
        <f>PRODUCT(C105,SUMPRODUCT(E88:E91,H88:H91)-E88)+PRODUCT(SUM(C98:C104),SUMPRODUCT(E88:E91,H88:H91))</f>
        <v>1004700</v>
      </c>
      <c r="F105" s="2">
        <f>-E66</f>
        <v>-540700</v>
      </c>
      <c r="G105" s="46">
        <f t="shared" si="3"/>
        <v>1501431</v>
      </c>
      <c r="H105" s="46">
        <f t="shared" si="2"/>
        <v>2871498.14</v>
      </c>
      <c r="I105" t="s">
        <v>167</v>
      </c>
    </row>
    <row r="106" spans="2:9" x14ac:dyDescent="0.35">
      <c r="B106" s="1">
        <v>10</v>
      </c>
      <c r="C106" s="1">
        <v>300</v>
      </c>
      <c r="D106" s="40">
        <f>PRODUCT(C106,D80)</f>
        <v>1244917.2</v>
      </c>
      <c r="E106" s="40">
        <f>PRODUCT(C106,SUMPRODUCT(E88:E91,H88:H91)-E88)+PRODUCT(SUM(C98:C105),SUMPRODUCT(E88:E91,H88:H91))</f>
        <v>1320300</v>
      </c>
      <c r="F106" s="2">
        <f>-E66</f>
        <v>-540700</v>
      </c>
      <c r="G106" s="46">
        <f t="shared" si="3"/>
        <v>2024517.2000000002</v>
      </c>
      <c r="H106" s="46">
        <f t="shared" si="2"/>
        <v>4896015.34</v>
      </c>
    </row>
  </sheetData>
  <mergeCells count="25">
    <mergeCell ref="B29:C29"/>
    <mergeCell ref="B2:L2"/>
    <mergeCell ref="B3:F3"/>
    <mergeCell ref="H3:L3"/>
    <mergeCell ref="H22:K22"/>
    <mergeCell ref="B27:E27"/>
    <mergeCell ref="H75:J75"/>
    <mergeCell ref="B39:L39"/>
    <mergeCell ref="B41:E41"/>
    <mergeCell ref="B50:E50"/>
    <mergeCell ref="B56:E56"/>
    <mergeCell ref="B61:E61"/>
    <mergeCell ref="B65:D65"/>
    <mergeCell ref="B66:D66"/>
    <mergeCell ref="B69:L69"/>
    <mergeCell ref="B71:L71"/>
    <mergeCell ref="C72:L72"/>
    <mergeCell ref="C74:D74"/>
    <mergeCell ref="B94:H94"/>
    <mergeCell ref="I76:J76"/>
    <mergeCell ref="I77:J77"/>
    <mergeCell ref="I78:J78"/>
    <mergeCell ref="I79:J79"/>
    <mergeCell ref="I80:J80"/>
    <mergeCell ref="C85:L85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Versão 1</vt:lpstr>
      <vt:lpstr>Versão 2</vt:lpstr>
      <vt:lpstr>Versão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Gonçalo Ramos</dc:creator>
  <cp:lastModifiedBy>Gonçalo Ramos</cp:lastModifiedBy>
  <dcterms:created xsi:type="dcterms:W3CDTF">2026-04-18T16:39:37Z</dcterms:created>
  <dcterms:modified xsi:type="dcterms:W3CDTF">2026-06-26T15:12:45Z</dcterms:modified>
</cp:coreProperties>
</file>