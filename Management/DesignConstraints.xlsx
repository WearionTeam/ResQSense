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ongo\OneDrive\Documentos\UA\3_Ano\Projeto\2. Documentos Internos\Planning\"/>
    </mc:Choice>
  </mc:AlternateContent>
  <xr:revisionPtr revIDLastSave="0" documentId="13_ncr:1_{6885EDDA-74FF-45C3-BE42-5541C9148F98}" xr6:coauthVersionLast="47" xr6:coauthVersionMax="47" xr10:uidLastSave="{00000000-0000-0000-0000-000000000000}"/>
  <bookViews>
    <workbookView xWindow="-110" yWindow="-110" windowWidth="19420" windowHeight="11500" xr2:uid="{B2DAAFDE-DDBC-4936-A48C-2CA6F8DF0612}"/>
  </bookViews>
  <sheets>
    <sheet name="Riscos 29_1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7" i="1" l="1"/>
  <c r="F27" i="1"/>
  <c r="F24" i="1"/>
  <c r="F13" i="1"/>
  <c r="F41" i="1"/>
  <c r="F42" i="1"/>
  <c r="F39" i="1"/>
  <c r="F40" i="1"/>
  <c r="F36" i="1"/>
  <c r="F37" i="1"/>
  <c r="F38" i="1"/>
  <c r="F33" i="1"/>
  <c r="F34" i="1"/>
  <c r="F35" i="1"/>
  <c r="F29" i="1"/>
  <c r="F30" i="1"/>
  <c r="F31" i="1"/>
  <c r="F32" i="1"/>
  <c r="F22" i="1"/>
  <c r="F23" i="1"/>
  <c r="F25" i="1"/>
  <c r="F26" i="1"/>
  <c r="F28" i="1"/>
  <c r="F15" i="1"/>
  <c r="F16" i="1"/>
  <c r="F18" i="1"/>
  <c r="F19" i="1"/>
  <c r="F20" i="1"/>
  <c r="F21" i="1"/>
  <c r="F10" i="1"/>
  <c r="F11" i="1"/>
  <c r="F12" i="1"/>
  <c r="F14" i="1"/>
  <c r="F5" i="1"/>
  <c r="F6" i="1"/>
  <c r="F7" i="1"/>
  <c r="F8" i="1"/>
  <c r="F9" i="1"/>
  <c r="F4" i="1"/>
</calcChain>
</file>

<file path=xl/sharedStrings.xml><?xml version="1.0" encoding="utf-8"?>
<sst xmlns="http://schemas.openxmlformats.org/spreadsheetml/2006/main" count="214" uniqueCount="171">
  <si>
    <t>Categoria</t>
  </si>
  <si>
    <t>Causa</t>
  </si>
  <si>
    <t>P</t>
  </si>
  <si>
    <t>I</t>
  </si>
  <si>
    <t>Impacto</t>
  </si>
  <si>
    <t>PxI</t>
  </si>
  <si>
    <t>Mitigação</t>
  </si>
  <si>
    <t>Especificações do projeto não detalhadas</t>
  </si>
  <si>
    <t>Planeamento incompleto</t>
  </si>
  <si>
    <t>Geral</t>
  </si>
  <si>
    <t>Instabilidade do PPG</t>
  </si>
  <si>
    <t>Vest</t>
  </si>
  <si>
    <t>Cor</t>
  </si>
  <si>
    <t>Sobre-aquecimento dos módulos</t>
  </si>
  <si>
    <t>Drift dos módulos</t>
  </si>
  <si>
    <t>Energia</t>
  </si>
  <si>
    <t>Componentes incapazes de completar as tarefas pretendidas</t>
  </si>
  <si>
    <t>Saturaçao do canal</t>
  </si>
  <si>
    <t>Pacotes com erros</t>
  </si>
  <si>
    <t>Colisão de pacotes</t>
  </si>
  <si>
    <t>Latência elevada em alertas</t>
  </si>
  <si>
    <t>Perda de pacotes LoRa</t>
  </si>
  <si>
    <t>Comms</t>
  </si>
  <si>
    <t>Firmware</t>
  </si>
  <si>
    <t>Falha na  deteção de alertas críticos</t>
  </si>
  <si>
    <t>Crashes/ Watchdog Reset</t>
  </si>
  <si>
    <t>Overflow do Buffer</t>
  </si>
  <si>
    <t>Falhas na gestão de prioridades</t>
  </si>
  <si>
    <t>Tablet + Database</t>
  </si>
  <si>
    <t>Sistema não alerta o utilizador</t>
  </si>
  <si>
    <t>Perda dos logs</t>
  </si>
  <si>
    <t>Falha nos dados biométricos de base</t>
  </si>
  <si>
    <t>Integração</t>
  </si>
  <si>
    <t>Interferência UWB - LoRa</t>
  </si>
  <si>
    <t>Interferência WiFi - LoRa</t>
  </si>
  <si>
    <t>Incompatibilidade HW-SW</t>
  </si>
  <si>
    <t>Definição incorreta dos temporizadores de envio por LoRa</t>
  </si>
  <si>
    <t>Crosstalk no PCB</t>
  </si>
  <si>
    <t>Memory Leak</t>
  </si>
  <si>
    <t>Aumento do scope</t>
  </si>
  <si>
    <t>Má colocação dos Sensores</t>
  </si>
  <si>
    <t>Autonomia insuficiente</t>
  </si>
  <si>
    <t>Sobre-aquecimento da bateria</t>
  </si>
  <si>
    <t>Disconexão de energia</t>
  </si>
  <si>
    <t>Dados corrompidos</t>
  </si>
  <si>
    <t>Atrasos no processamento</t>
  </si>
  <si>
    <t>Interfaces vagas; Pinouts indefinidos; Requisitos ambíguos.</t>
  </si>
  <si>
    <t>Adição de funcionalidades extra; Má gestão de prioridades.</t>
  </si>
  <si>
    <t>Danificação de componentes</t>
  </si>
  <si>
    <t>Colete largo/desajustado; Sensor desalinhado do corpo.</t>
  </si>
  <si>
    <t>Erro matemático de integração; Falta de correção externa.</t>
  </si>
  <si>
    <t>Pistas digitais/analógicas próximas; Falta de isolamento; Plano de terra deficiente.</t>
  </si>
  <si>
    <t>Consumo real &gt; estimado; Bateria degradada.</t>
  </si>
  <si>
    <t>Carga rápida excessiva; Ambiente externo &gt;60ºC; Curto-circuito.</t>
  </si>
  <si>
    <t>Obstáculos densos (betão); Distância excessiva.</t>
  </si>
  <si>
    <t>Congestionamento na fila TX; Retransmissões excessivas; Processamento lento.</t>
  </si>
  <si>
    <t>Nó que envia repetidamente; Tráfego excessivo na rede; Duty-cycle esgotado.</t>
  </si>
  <si>
    <t>Transmissão simultânea; Falta de sincronização temporal; Rede densa.</t>
  </si>
  <si>
    <t>Ruído RF; Sinal fraco (RSSI baixo); Interferência eletromagnética</t>
  </si>
  <si>
    <t>Dispositivos na banda 868MHz; Redes vizinhas; Jamming.</t>
  </si>
  <si>
    <t>Limiar (threshold) mal definido; Lógica de comparação errada.</t>
  </si>
  <si>
    <t>Erro de ponteiro; Divisão por zero; Loop infinito; Stack overflow.</t>
  </si>
  <si>
    <t>Dados chegam mais rápido que o envio; Escrita lenta em memória.</t>
  </si>
  <si>
    <t>Alocação sem libertação; Fragmentação de Heap; Logs excessivos em RAM.</t>
  </si>
  <si>
    <t>Interrutpções mal configuradas.</t>
  </si>
  <si>
    <t>Thread única (bloqueante); Renderização pesada; Sobrecarga CPU.</t>
  </si>
  <si>
    <t>Driver buzzer/ecrã falha; UI bloqueada; Volume inaudível.</t>
  </si>
  <si>
    <t>Erro de serialização; Falha na memória Flash; Ruído no barramento (SPI/I2C).</t>
  </si>
  <si>
    <t>Harmónicas de frequência; Proximidade na PCB; Falta de blindagem.</t>
  </si>
  <si>
    <t>Antenas fisicamente próximas; Bandas harmónicas.</t>
  </si>
  <si>
    <t>Código ineficiente; Leitura bloqueante de sensores; Bus lento.</t>
  </si>
  <si>
    <t>Driver incorreto; Pinout errado no código; Níveis lógicos (3V3 vs 5V).</t>
  </si>
  <si>
    <t>Bugs ou falhas de boot</t>
  </si>
  <si>
    <t>Specs teóricas (datasheet) inferiores à realidade; Requisitos de processamento subestimados; Degradação de performance em carga máxima.</t>
  </si>
  <si>
    <t>Limiares (thresholds) mal calibrados; Lógica de comparação errada no algoritmo; Filtragem excessiva de dados (mascara eventos reais).</t>
  </si>
  <si>
    <t>Falha do UWB</t>
  </si>
  <si>
    <t>Subestimação de tarefas; Má coordenação; Prazos irrealistas.</t>
  </si>
  <si>
    <t xml:space="preserve">Medições incorretas dos módulos </t>
  </si>
  <si>
    <t>Ruído nos sensores; Falta de calibração; Componentes defeituosos.</t>
  </si>
  <si>
    <t>Dissipação térmica insuficiente; Falta de isolamento térmico do circuito.</t>
  </si>
  <si>
    <t>Reuniões semanais e revisões periódicas do plano.</t>
  </si>
  <si>
    <t>Atrasos no projeto e desorientação do grupo.</t>
  </si>
  <si>
    <t>Acréscimo no custo do projeto e atrasos para a criação dos módulos.</t>
  </si>
  <si>
    <t>Problemas na integração futura dos módulos.</t>
  </si>
  <si>
    <t>Aumento da complexidade do projeto e a possibilidade de não o terminar.</t>
  </si>
  <si>
    <t>Focar em clarear para todos no grupo o MVP a realizar.</t>
  </si>
  <si>
    <t>Estudar bem os datasheets e realizar testes progressivos.</t>
  </si>
  <si>
    <t>Definição clara e objetiva de todos as especificações/requisitos.</t>
  </si>
  <si>
    <t>Erro de soldadura; Erros e curto-circuitos na montagem.</t>
  </si>
  <si>
    <t>Invabilizar componentes comprados e necessidade de esperar por substitutos.</t>
  </si>
  <si>
    <t>Confirmar no datasheet os pinouts dos módulos, verificar montagens e  testar o mínimo possível nas placa branca.</t>
  </si>
  <si>
    <t>Estudar os sensores, testar e produzir algoritmos que evitem os erros de medição.</t>
  </si>
  <si>
    <t>Degradação de leitura ou falha.</t>
  </si>
  <si>
    <t>Leituras vitais imprecisas.</t>
  </si>
  <si>
    <t>Movimento intenso; Perda de contacto com a pele.</t>
  </si>
  <si>
    <t>Fornecimento de medições erradas ao end-user .</t>
  </si>
  <si>
    <t>Produzir algoritmo para contrariar offsets de tensão produzidos pelo movimento.</t>
  </si>
  <si>
    <t>Testar os melhores posicionamentos dos sensores</t>
  </si>
  <si>
    <t>Not Yet</t>
  </si>
  <si>
    <t>Coletes podem enviar mensagens no mesmo instante ou o recetor pode  não estar disponivel para receber.</t>
  </si>
  <si>
    <t>Perda da redundancia de localização relativa</t>
  </si>
  <si>
    <t>Oclusão por corpo/metal; Falta de uma sightline; Reflexões multipath</t>
  </si>
  <si>
    <r>
      <t xml:space="preserve">Configuração errada no início de sessão; Violação do </t>
    </r>
    <r>
      <rPr>
        <i/>
        <sz val="11"/>
        <color theme="1"/>
        <rFont val="Aptos Narrow"/>
        <family val="2"/>
        <scheme val="minor"/>
      </rPr>
      <t>duty-cycle</t>
    </r>
    <r>
      <rPr>
        <sz val="11"/>
        <color theme="1"/>
        <rFont val="Aptos Narrow"/>
        <family val="2"/>
        <scheme val="minor"/>
      </rPr>
      <t xml:space="preserve"> (1%);.</t>
    </r>
  </si>
  <si>
    <t>?</t>
  </si>
  <si>
    <t>Localização relativa incorreta.</t>
  </si>
  <si>
    <t>Garantir que ao iniciar uma missão no Tablet exista um envio de pacotes da definição dos temporizadores de envio. Enviar mensagens periódicas a recalibrar temporizadores.</t>
  </si>
  <si>
    <t>Desenvolvimento de algoritmos para recalibrar sensores.</t>
  </si>
  <si>
    <t>Corrupção dos dados dentro dos módulos e enviados.</t>
  </si>
  <si>
    <t>Desenvolver os PCB seguindo as regras e ter atenção a pistas próximas.</t>
  </si>
  <si>
    <t>Sistema desliga-se antes da missão terminar.</t>
  </si>
  <si>
    <t>Colocar duas baterias para funcionarem em simultâneo, possibilidade de as carregar e ter energia de reserva (p.e. pilhas).</t>
  </si>
  <si>
    <t>Escolha de baterias resistentes e homologadas.</t>
  </si>
  <si>
    <t>Falha crítica do sistema e segurança do utilizador.</t>
  </si>
  <si>
    <t>Sistema ficar offline a meio da missão.</t>
  </si>
  <si>
    <t>Comprar conectores fiáveis.</t>
  </si>
  <si>
    <t>Perda de dados críticos.</t>
  </si>
  <si>
    <t>Alertas atrasados.</t>
  </si>
  <si>
    <t>Perda de mensagens.</t>
  </si>
  <si>
    <t>Desenvolver sistema onde se o recetor não receber um pacote no tempo esperado, manda um pacote a perguntar pela informação.</t>
  </si>
  <si>
    <t>Prioridade de pacotes com alertas  e otimização do tamanho do pacote.</t>
  </si>
  <si>
    <t>Pacotes com campo de CRC e reenvio da mensagem caso haja a deteção de erros.</t>
  </si>
  <si>
    <t>Mensagens corrompidas ou com informações erradas.</t>
  </si>
  <si>
    <t>Pacotes não chegam ao destino ou contém dados errados.</t>
  </si>
  <si>
    <t>Definição de tempos de envio para cada nó da rede.</t>
  </si>
  <si>
    <t>Rede sobrecarregada ou com a impossibilidade de enviar informação.</t>
  </si>
  <si>
    <t>Interferências externas</t>
  </si>
  <si>
    <t>Alertas ausentes ou falsos.</t>
  </si>
  <si>
    <t>Desenvolver cuidadosamente o algoritmo para a deteção de alertas gerais.</t>
  </si>
  <si>
    <t>Paragem do sistema.</t>
  </si>
  <si>
    <t>Dados corrompidos.</t>
  </si>
  <si>
    <t>Configurar o sensor de PPG com base nos tempos de escrita do FIFO.</t>
  </si>
  <si>
    <t>O sistema funciona bem nos testes curtos, mas bloqueia (crash) após 4-5 horas de missão.</t>
  </si>
  <si>
    <t>Testes de longa duração e uso de alocação estática de memória.</t>
  </si>
  <si>
    <t>Revisão e otimização constante do código. Execução de vários testes. Implementação de um Watchdog Timer.</t>
  </si>
  <si>
    <t>Processamento pouco otimizado.</t>
  </si>
  <si>
    <t>Otimização do código e planeamento das atividades críticas.</t>
  </si>
  <si>
    <t>GUI lenta com muitos eventos</t>
  </si>
  <si>
    <t>Atrasos ou paragem na visualização.</t>
  </si>
  <si>
    <t>Otimização de receção de dados e limitação de FPS</t>
  </si>
  <si>
    <t>O sistema não cumpre com o seu propósito.</t>
  </si>
  <si>
    <t>Assegurar a comunicação entre database e o tablet para a realização dos algoritmos de comparação para alertas.</t>
  </si>
  <si>
    <t>Falta de histórico.</t>
  </si>
  <si>
    <t>Histórico inválido.</t>
  </si>
  <si>
    <t>Dados relativos errados.</t>
  </si>
  <si>
    <t>Desenvolver mecanismo que asegura que o tablet consegue os dados necessários para a missão e guardar localmente.</t>
  </si>
  <si>
    <t>Perda de alcance ou precisão.</t>
  </si>
  <si>
    <t>Perda de alcance de comunicação e dados corrompidos.</t>
  </si>
  <si>
    <t>Utilização de CRC e validação de dados.</t>
  </si>
  <si>
    <t>Separação física dos dois módulos.</t>
  </si>
  <si>
    <t>Dados fora do tempo.</t>
  </si>
  <si>
    <t>Produzir módulos separados e ir integrando com versões.</t>
  </si>
  <si>
    <t>Falha Wi-Fi inicial; Database offline; Erro de ID.</t>
  </si>
  <si>
    <t>Database offline.</t>
  </si>
  <si>
    <t>Probabilidade</t>
  </si>
  <si>
    <t>1   (Pouco)</t>
  </si>
  <si>
    <t>5    (Grande)</t>
  </si>
  <si>
    <t>1      (Raro)</t>
  </si>
  <si>
    <t>5      (Muito Certo)</t>
  </si>
  <si>
    <t>Matriz de Risco 5x5 (PxI):</t>
  </si>
  <si>
    <t>Vibração mecânica intensa; Conectores sujos/soltos; Impacto físico.</t>
  </si>
  <si>
    <t>Esperar um tempo até voltar a tentar reconectar.</t>
  </si>
  <si>
    <t>Não nos vamos preocupar com isto para o MVP.</t>
  </si>
  <si>
    <t>Apostar em patrocínios que façam o colete com bons materiais.</t>
  </si>
  <si>
    <t>Constraint</t>
  </si>
  <si>
    <t>Gimball Lock no IMU no SW</t>
  </si>
  <si>
    <t>Dois eixos do IMU ficam exatamente alinhados e o programa depois não sabe qual deles é que mudou de posição</t>
  </si>
  <si>
    <t>O colete pode não conseguir determinar se houve um 'Man Down'</t>
  </si>
  <si>
    <t>Colocar um  tipo de botão no colete para pedir socorro</t>
  </si>
  <si>
    <t>Alertas não previstos não são enviados</t>
  </si>
  <si>
    <t xml:space="preserve">Um operacional deslocar um membro ou algo do género não está previsto </t>
  </si>
  <si>
    <t>Operacional pode estar (a sentir-se) mal e o colete não avisa podendo levar a acidentes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</si>
</sst>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i/>
      <sz val="16"/>
      <color theme="1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C00000"/>
        <bgColor indexed="64"/>
      </patternFill>
    </fill>
  </fills>
  <borders count="15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/>
      <bottom/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2" borderId="0" xfId="0" applyFill="1"/>
    <xf numFmtId="0" fontId="0" fillId="4" borderId="0" xfId="0" applyFill="1"/>
    <xf numFmtId="0" fontId="0" fillId="0" borderId="0" xfId="0" applyAlignment="1">
      <alignment horizontal="center" vertical="center" textRotation="90"/>
    </xf>
    <xf numFmtId="0" fontId="0" fillId="0" borderId="0" xfId="0" applyAlignment="1">
      <alignment horizontal="center" vertical="center" textRotation="90" wrapText="1"/>
    </xf>
    <xf numFmtId="0" fontId="0" fillId="0" borderId="0" xfId="0" applyAlignment="1">
      <alignment horizontal="left" vertical="center" wrapText="1"/>
    </xf>
    <xf numFmtId="0" fontId="0" fillId="0" borderId="2" xfId="0" applyBorder="1" applyAlignment="1">
      <alignment horizontal="center" vertical="center" textRotation="90"/>
    </xf>
    <xf numFmtId="0" fontId="0" fillId="0" borderId="4" xfId="0" applyBorder="1" applyAlignment="1">
      <alignment horizontal="left" vertical="center" wrapText="1"/>
    </xf>
    <xf numFmtId="0" fontId="2" fillId="0" borderId="0" xfId="0" applyFont="1" applyAlignment="1">
      <alignment horizontal="center" textRotation="90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2" xfId="0" applyBorder="1" applyAlignment="1">
      <alignment horizontal="left" vertical="center" wrapText="1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left" vertical="center" wrapText="1"/>
    </xf>
    <xf numFmtId="0" fontId="0" fillId="0" borderId="1" xfId="0" applyBorder="1" applyAlignment="1">
      <alignment wrapText="1"/>
    </xf>
    <xf numFmtId="0" fontId="2" fillId="7" borderId="8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2" fillId="8" borderId="8" xfId="0" applyFont="1" applyFill="1" applyBorder="1" applyAlignment="1">
      <alignment horizontal="center" vertical="center"/>
    </xf>
    <xf numFmtId="0" fontId="2" fillId="9" borderId="8" xfId="0" applyFont="1" applyFill="1" applyBorder="1" applyAlignment="1">
      <alignment horizontal="center" vertical="center"/>
    </xf>
    <xf numFmtId="0" fontId="2" fillId="10" borderId="8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11" borderId="8" xfId="0" applyFont="1" applyFill="1" applyBorder="1" applyAlignment="1">
      <alignment horizontal="center" vertical="center"/>
    </xf>
    <xf numFmtId="0" fontId="2" fillId="6" borderId="9" xfId="0" applyFont="1" applyFill="1" applyBorder="1" applyAlignment="1">
      <alignment horizontal="center" vertical="center"/>
    </xf>
    <xf numFmtId="0" fontId="2" fillId="7" borderId="9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2" fillId="8" borderId="9" xfId="0" applyFont="1" applyFill="1" applyBorder="1" applyAlignment="1">
      <alignment horizontal="center" vertical="center"/>
    </xf>
    <xf numFmtId="0" fontId="6" fillId="0" borderId="13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left" vertical="center" wrapText="1"/>
    </xf>
    <xf numFmtId="0" fontId="7" fillId="0" borderId="7" xfId="0" applyFont="1" applyBorder="1" applyAlignment="1">
      <alignment horizontal="left" vertical="center" wrapText="1"/>
    </xf>
    <xf numFmtId="0" fontId="8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textRotation="90"/>
    </xf>
    <xf numFmtId="0" fontId="3" fillId="4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</cellXfs>
  <cellStyles count="1">
    <cellStyle name="Normal" xfId="0" builtinId="0"/>
  </cellStyles>
  <dxfs count="16">
    <dxf>
      <fill>
        <patternFill>
          <bgColor theme="6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9900"/>
        </patternFill>
      </fill>
    </dxf>
    <dxf>
      <fill>
        <patternFill>
          <bgColor rgb="FFFF7C80"/>
        </patternFill>
      </fill>
    </dxf>
    <dxf>
      <fill>
        <patternFill>
          <bgColor rgb="FFFF0000"/>
        </patternFill>
      </fill>
    </dxf>
    <dxf>
      <fill>
        <patternFill>
          <bgColor rgb="FFC00000"/>
        </patternFill>
      </fill>
    </dxf>
    <dxf>
      <fill>
        <patternFill>
          <bgColor theme="0"/>
        </patternFill>
      </fill>
    </dxf>
    <dxf>
      <font>
        <color auto="1"/>
      </font>
      <fill>
        <patternFill patternType="lightTrellis">
          <fgColor auto="1"/>
          <bgColor theme="5" tint="0.39991454817346722"/>
        </patternFill>
      </fill>
    </dxf>
    <dxf>
      <fill>
        <patternFill patternType="lightTrellis">
          <bgColor rgb="FFFF0000"/>
        </patternFill>
      </fill>
    </dxf>
    <dxf>
      <fill>
        <patternFill patternType="lightTrellis">
          <bgColor rgb="FFFFFF00"/>
        </patternFill>
      </fill>
    </dxf>
    <dxf>
      <fill>
        <patternFill patternType="lightTrellis">
          <bgColor theme="4" tint="0.39991454817346722"/>
        </patternFill>
      </fill>
    </dxf>
    <dxf>
      <fill>
        <patternFill patternType="lightTrellis">
          <bgColor theme="9" tint="0.59996337778862885"/>
        </patternFill>
      </fill>
    </dxf>
    <dxf>
      <fill>
        <patternFill patternType="lightTrellis">
          <bgColor theme="1" tint="0.24994659260841701"/>
        </patternFill>
      </fill>
    </dxf>
    <dxf>
      <fill>
        <patternFill patternType="lightTrellis">
          <bgColor rgb="FF7030A0"/>
        </patternFill>
      </fill>
    </dxf>
  </dxfs>
  <tableStyles count="0" defaultTableStyle="TableStyleMedium2" defaultPivotStyle="PivotStyleLight16"/>
  <colors>
    <mruColors>
      <color rgb="FF000000"/>
      <color rgb="FFFF7C80"/>
      <color rgb="FFFF9900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1E74B-F366-4745-BEEF-6216F1F8C9BB}">
  <dimension ref="A1:W66"/>
  <sheetViews>
    <sheetView tabSelected="1" zoomScale="80" zoomScaleNormal="80" workbookViewId="0">
      <selection activeCell="I22" sqref="I22"/>
    </sheetView>
  </sheetViews>
  <sheetFormatPr defaultRowHeight="14.5" x14ac:dyDescent="0.35"/>
  <cols>
    <col min="1" max="1" width="8.7265625" customWidth="1"/>
    <col min="2" max="2" width="3.6328125" customWidth="1"/>
    <col min="3" max="3" width="15.6328125" customWidth="1"/>
    <col min="4" max="4" width="25.6328125" customWidth="1"/>
    <col min="5" max="5" width="30.26953125" customWidth="1"/>
    <col min="6" max="8" width="8.1796875" customWidth="1"/>
    <col min="9" max="9" width="23.26953125" customWidth="1"/>
    <col min="10" max="10" width="29.54296875" customWidth="1"/>
  </cols>
  <sheetData>
    <row r="1" spans="1:23" x14ac:dyDescent="0.3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ht="29.5" x14ac:dyDescent="0.35">
      <c r="A2" s="2"/>
      <c r="B2" s="8" t="s">
        <v>12</v>
      </c>
      <c r="C2" s="9" t="s">
        <v>0</v>
      </c>
      <c r="D2" s="40" t="s">
        <v>163</v>
      </c>
      <c r="E2" s="9" t="s">
        <v>1</v>
      </c>
      <c r="F2" s="9" t="s">
        <v>5</v>
      </c>
      <c r="G2" s="9" t="s">
        <v>2</v>
      </c>
      <c r="H2" s="9" t="s">
        <v>3</v>
      </c>
      <c r="I2" s="9" t="s">
        <v>4</v>
      </c>
      <c r="J2" s="9" t="s">
        <v>6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spans="1:23" x14ac:dyDescent="0.35">
      <c r="A3" s="2"/>
      <c r="B3" s="1"/>
      <c r="C3" s="1"/>
      <c r="D3" s="1"/>
      <c r="E3" s="1"/>
      <c r="F3" s="1"/>
      <c r="G3" s="1"/>
      <c r="H3" s="1"/>
      <c r="I3" s="1"/>
      <c r="J3" s="1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 spans="1:23" ht="29" x14ac:dyDescent="0.55000000000000004">
      <c r="A4" s="2"/>
      <c r="C4" s="3" t="s">
        <v>9</v>
      </c>
      <c r="D4" s="5" t="s">
        <v>8</v>
      </c>
      <c r="E4" s="5" t="s">
        <v>76</v>
      </c>
      <c r="F4" s="10">
        <f>G4*H4</f>
        <v>12</v>
      </c>
      <c r="G4" s="10">
        <v>4</v>
      </c>
      <c r="H4" s="10">
        <v>3</v>
      </c>
      <c r="I4" s="5" t="s">
        <v>81</v>
      </c>
      <c r="J4" s="12" t="s">
        <v>80</v>
      </c>
      <c r="K4" s="2"/>
      <c r="L4" s="2"/>
      <c r="M4" s="2"/>
      <c r="N4" s="43" t="s">
        <v>158</v>
      </c>
      <c r="O4" s="44"/>
      <c r="P4" s="44"/>
      <c r="Q4" s="44"/>
      <c r="R4" s="2"/>
      <c r="S4" s="2"/>
      <c r="T4" s="2"/>
      <c r="U4" s="2"/>
      <c r="V4" s="2"/>
      <c r="W4" s="2"/>
    </row>
    <row r="5" spans="1:23" ht="29.5" thickBot="1" x14ac:dyDescent="0.4">
      <c r="A5" s="2"/>
      <c r="C5" s="3" t="s">
        <v>9</v>
      </c>
      <c r="D5" s="5" t="s">
        <v>7</v>
      </c>
      <c r="E5" s="5" t="s">
        <v>46</v>
      </c>
      <c r="F5" s="10">
        <f t="shared" ref="F5:F20" si="0">G5*H5</f>
        <v>15</v>
      </c>
      <c r="G5" s="10">
        <v>3</v>
      </c>
      <c r="H5" s="10">
        <v>5</v>
      </c>
      <c r="I5" s="5" t="s">
        <v>83</v>
      </c>
      <c r="J5" s="13" t="s">
        <v>87</v>
      </c>
      <c r="K5" s="2"/>
      <c r="L5" s="2"/>
      <c r="M5" s="2"/>
      <c r="N5" s="2"/>
      <c r="O5" s="2"/>
      <c r="P5" s="2"/>
      <c r="Q5" s="41" t="s">
        <v>4</v>
      </c>
      <c r="R5" s="41"/>
      <c r="S5" s="41"/>
      <c r="T5" s="41"/>
      <c r="U5" s="41"/>
      <c r="V5" s="2"/>
      <c r="W5" s="2"/>
    </row>
    <row r="6" spans="1:23" ht="73.5" thickTop="1" thickBot="1" x14ac:dyDescent="0.4">
      <c r="A6" s="2"/>
      <c r="C6" s="3" t="s">
        <v>9</v>
      </c>
      <c r="D6" s="5" t="s">
        <v>16</v>
      </c>
      <c r="E6" s="5" t="s">
        <v>73</v>
      </c>
      <c r="F6" s="10">
        <f t="shared" si="0"/>
        <v>4</v>
      </c>
      <c r="G6" s="10">
        <v>1</v>
      </c>
      <c r="H6" s="10">
        <v>4</v>
      </c>
      <c r="I6" s="5" t="s">
        <v>82</v>
      </c>
      <c r="J6" s="14" t="s">
        <v>86</v>
      </c>
      <c r="K6" s="2"/>
      <c r="L6" s="2"/>
      <c r="M6" s="2"/>
      <c r="N6" s="2"/>
      <c r="O6" s="2"/>
      <c r="Q6" s="32" t="s">
        <v>154</v>
      </c>
      <c r="R6" s="33">
        <v>2</v>
      </c>
      <c r="S6" s="33">
        <v>3</v>
      </c>
      <c r="T6" s="33">
        <v>4</v>
      </c>
      <c r="U6" s="34" t="s">
        <v>155</v>
      </c>
      <c r="V6" s="2"/>
      <c r="W6" s="2"/>
    </row>
    <row r="7" spans="1:23" ht="44.5" thickTop="1" thickBot="1" x14ac:dyDescent="0.4">
      <c r="A7" s="2"/>
      <c r="C7" s="3" t="s">
        <v>9</v>
      </c>
      <c r="D7" s="5" t="s">
        <v>39</v>
      </c>
      <c r="E7" s="5" t="s">
        <v>47</v>
      </c>
      <c r="F7" s="10">
        <f t="shared" si="0"/>
        <v>12</v>
      </c>
      <c r="G7" s="10">
        <v>3</v>
      </c>
      <c r="H7" s="10">
        <v>4</v>
      </c>
      <c r="I7" s="5" t="s">
        <v>84</v>
      </c>
      <c r="J7" s="12" t="s">
        <v>85</v>
      </c>
      <c r="K7" s="2"/>
      <c r="L7" s="2"/>
      <c r="M7" s="2"/>
      <c r="N7" s="2"/>
      <c r="O7" s="42" t="s">
        <v>153</v>
      </c>
      <c r="P7" s="35" t="s">
        <v>156</v>
      </c>
      <c r="Q7" s="28">
        <v>1</v>
      </c>
      <c r="R7" s="21">
        <v>2</v>
      </c>
      <c r="S7" s="22">
        <v>3</v>
      </c>
      <c r="T7" s="22">
        <v>4</v>
      </c>
      <c r="U7" s="23">
        <v>5</v>
      </c>
      <c r="V7" s="2"/>
      <c r="W7" s="2"/>
    </row>
    <row r="8" spans="1:23" ht="59" thickTop="1" thickBot="1" x14ac:dyDescent="0.4">
      <c r="A8" s="2"/>
      <c r="C8" s="3" t="s">
        <v>9</v>
      </c>
      <c r="D8" s="5" t="s">
        <v>48</v>
      </c>
      <c r="E8" s="5" t="s">
        <v>88</v>
      </c>
      <c r="F8" s="10">
        <f t="shared" si="0"/>
        <v>8</v>
      </c>
      <c r="G8" s="10">
        <v>2</v>
      </c>
      <c r="H8" s="10">
        <v>4</v>
      </c>
      <c r="I8" s="5" t="s">
        <v>89</v>
      </c>
      <c r="J8" s="13" t="s">
        <v>90</v>
      </c>
      <c r="K8" s="2"/>
      <c r="L8" s="2"/>
      <c r="M8" s="2"/>
      <c r="N8" s="2"/>
      <c r="O8" s="42"/>
      <c r="P8" s="36">
        <v>2</v>
      </c>
      <c r="Q8" s="29">
        <v>2</v>
      </c>
      <c r="R8" s="22">
        <v>4</v>
      </c>
      <c r="S8" s="23">
        <v>6</v>
      </c>
      <c r="T8" s="23">
        <v>8</v>
      </c>
      <c r="U8" s="24">
        <v>10</v>
      </c>
      <c r="V8" s="2"/>
      <c r="W8" s="2"/>
    </row>
    <row r="9" spans="1:23" ht="44.5" thickTop="1" thickBot="1" x14ac:dyDescent="0.4">
      <c r="A9" s="2"/>
      <c r="C9" s="3" t="s">
        <v>11</v>
      </c>
      <c r="D9" s="5" t="s">
        <v>77</v>
      </c>
      <c r="E9" s="5" t="s">
        <v>78</v>
      </c>
      <c r="F9" s="10">
        <f t="shared" si="0"/>
        <v>6</v>
      </c>
      <c r="G9" s="10">
        <v>2</v>
      </c>
      <c r="H9" s="10">
        <v>3</v>
      </c>
      <c r="I9" s="5" t="s">
        <v>95</v>
      </c>
      <c r="J9" s="13" t="s">
        <v>91</v>
      </c>
      <c r="K9" s="2"/>
      <c r="L9" s="2"/>
      <c r="M9" s="2"/>
      <c r="N9" s="2"/>
      <c r="O9" s="42"/>
      <c r="P9" s="36">
        <v>3</v>
      </c>
      <c r="Q9" s="30">
        <v>3</v>
      </c>
      <c r="R9" s="23">
        <v>6</v>
      </c>
      <c r="S9" s="24">
        <v>9</v>
      </c>
      <c r="T9" s="24">
        <v>12</v>
      </c>
      <c r="U9" s="25">
        <v>15</v>
      </c>
      <c r="V9" s="2"/>
      <c r="W9" s="2"/>
    </row>
    <row r="10" spans="1:23" ht="44.5" thickTop="1" thickBot="1" x14ac:dyDescent="0.4">
      <c r="A10" s="2"/>
      <c r="C10" s="3" t="s">
        <v>11</v>
      </c>
      <c r="D10" s="5" t="s">
        <v>13</v>
      </c>
      <c r="E10" s="5" t="s">
        <v>79</v>
      </c>
      <c r="F10" s="10">
        <f>G10*H10</f>
        <v>12</v>
      </c>
      <c r="G10" s="10">
        <v>3</v>
      </c>
      <c r="H10" s="10">
        <v>4</v>
      </c>
      <c r="I10" s="5" t="s">
        <v>92</v>
      </c>
      <c r="J10" s="13" t="s">
        <v>162</v>
      </c>
      <c r="K10" s="2"/>
      <c r="L10" s="2"/>
      <c r="M10" s="2"/>
      <c r="N10" s="2"/>
      <c r="O10" s="42"/>
      <c r="P10" s="36">
        <v>4</v>
      </c>
      <c r="Q10" s="30">
        <v>4</v>
      </c>
      <c r="R10" s="23">
        <v>8</v>
      </c>
      <c r="S10" s="24">
        <v>12</v>
      </c>
      <c r="T10" s="25">
        <v>16</v>
      </c>
      <c r="U10" s="26">
        <v>20</v>
      </c>
      <c r="V10" s="2"/>
      <c r="W10" s="2"/>
    </row>
    <row r="11" spans="1:23" ht="49" thickTop="1" thickBot="1" x14ac:dyDescent="0.4">
      <c r="A11" s="2"/>
      <c r="C11" s="3" t="s">
        <v>11</v>
      </c>
      <c r="D11" s="5" t="s">
        <v>10</v>
      </c>
      <c r="E11" s="5" t="s">
        <v>94</v>
      </c>
      <c r="F11" s="10">
        <f t="shared" si="0"/>
        <v>15</v>
      </c>
      <c r="G11" s="10">
        <v>5</v>
      </c>
      <c r="H11" s="10">
        <v>3</v>
      </c>
      <c r="I11" s="5" t="s">
        <v>93</v>
      </c>
      <c r="J11" s="13" t="s">
        <v>96</v>
      </c>
      <c r="K11" s="2"/>
      <c r="L11" s="2"/>
      <c r="M11" s="2"/>
      <c r="N11" s="2"/>
      <c r="O11" s="42"/>
      <c r="P11" s="37" t="s">
        <v>157</v>
      </c>
      <c r="Q11" s="31">
        <v>5</v>
      </c>
      <c r="R11" s="24">
        <v>10</v>
      </c>
      <c r="S11" s="25">
        <v>15</v>
      </c>
      <c r="T11" s="26">
        <v>20</v>
      </c>
      <c r="U11" s="27">
        <v>25</v>
      </c>
      <c r="V11" s="2"/>
      <c r="W11" s="2"/>
    </row>
    <row r="12" spans="1:23" ht="29" x14ac:dyDescent="0.35">
      <c r="A12" s="2"/>
      <c r="C12" s="3" t="s">
        <v>11</v>
      </c>
      <c r="D12" s="5" t="s">
        <v>40</v>
      </c>
      <c r="E12" s="5" t="s">
        <v>49</v>
      </c>
      <c r="F12" s="10">
        <f t="shared" si="0"/>
        <v>2</v>
      </c>
      <c r="G12" s="10">
        <v>2</v>
      </c>
      <c r="H12" s="10">
        <v>1</v>
      </c>
      <c r="I12" s="5" t="s">
        <v>93</v>
      </c>
      <c r="J12" s="13" t="s">
        <v>97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</row>
    <row r="13" spans="1:23" ht="87" x14ac:dyDescent="0.35">
      <c r="A13" s="2"/>
      <c r="C13" s="3" t="s">
        <v>11</v>
      </c>
      <c r="D13" s="5" t="s">
        <v>36</v>
      </c>
      <c r="E13" s="5" t="s">
        <v>102</v>
      </c>
      <c r="F13" s="10">
        <f t="shared" si="0"/>
        <v>6</v>
      </c>
      <c r="G13" s="10">
        <v>2</v>
      </c>
      <c r="H13" s="10">
        <v>3</v>
      </c>
      <c r="I13" s="5" t="s">
        <v>99</v>
      </c>
      <c r="J13" s="13" t="s">
        <v>105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</row>
    <row r="14" spans="1:23" ht="29" x14ac:dyDescent="0.35">
      <c r="A14" s="2"/>
      <c r="C14" s="3" t="s">
        <v>11</v>
      </c>
      <c r="D14" s="5" t="s">
        <v>75</v>
      </c>
      <c r="E14" s="5" t="s">
        <v>101</v>
      </c>
      <c r="F14" s="10">
        <f t="shared" si="0"/>
        <v>9</v>
      </c>
      <c r="G14" s="10">
        <v>3</v>
      </c>
      <c r="H14" s="10">
        <v>3</v>
      </c>
      <c r="I14" s="5" t="s">
        <v>100</v>
      </c>
      <c r="J14" s="13" t="s">
        <v>160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</row>
    <row r="15" spans="1:23" ht="29" x14ac:dyDescent="0.35">
      <c r="A15" s="2"/>
      <c r="C15" s="3" t="s">
        <v>11</v>
      </c>
      <c r="D15" s="5" t="s">
        <v>14</v>
      </c>
      <c r="E15" s="5" t="s">
        <v>50</v>
      </c>
      <c r="F15" s="10">
        <f>G15*H15</f>
        <v>4</v>
      </c>
      <c r="G15" s="10">
        <v>2</v>
      </c>
      <c r="H15" s="10">
        <v>2</v>
      </c>
      <c r="I15" s="5" t="s">
        <v>104</v>
      </c>
      <c r="J15" s="38" t="s">
        <v>106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 spans="1:23" ht="43.5" x14ac:dyDescent="0.35">
      <c r="A16" s="2"/>
      <c r="C16" s="3" t="s">
        <v>11</v>
      </c>
      <c r="D16" s="5" t="s">
        <v>37</v>
      </c>
      <c r="E16" s="5" t="s">
        <v>51</v>
      </c>
      <c r="F16" s="10">
        <f t="shared" si="0"/>
        <v>12</v>
      </c>
      <c r="G16" s="10">
        <v>3</v>
      </c>
      <c r="H16" s="10">
        <v>4</v>
      </c>
      <c r="I16" s="5" t="s">
        <v>107</v>
      </c>
      <c r="J16" s="14" t="s">
        <v>108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 spans="1:23" ht="58" x14ac:dyDescent="0.35">
      <c r="A17" s="2"/>
      <c r="C17" s="3" t="s">
        <v>11</v>
      </c>
      <c r="D17" s="5" t="s">
        <v>168</v>
      </c>
      <c r="E17" s="5" t="s">
        <v>169</v>
      </c>
      <c r="F17" s="10">
        <f t="shared" si="0"/>
        <v>15</v>
      </c>
      <c r="G17" s="10">
        <v>3</v>
      </c>
      <c r="H17" s="10">
        <v>5</v>
      </c>
      <c r="I17" s="5" t="s">
        <v>170</v>
      </c>
      <c r="J17" s="13" t="s">
        <v>167</v>
      </c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 spans="1:23" ht="58" x14ac:dyDescent="0.35">
      <c r="A18" s="2"/>
      <c r="C18" s="3" t="s">
        <v>15</v>
      </c>
      <c r="D18" s="5" t="s">
        <v>41</v>
      </c>
      <c r="E18" s="5" t="s">
        <v>52</v>
      </c>
      <c r="F18" s="10">
        <f t="shared" si="0"/>
        <v>12</v>
      </c>
      <c r="G18" s="10">
        <v>3</v>
      </c>
      <c r="H18" s="10">
        <v>4</v>
      </c>
      <c r="I18" s="5" t="s">
        <v>109</v>
      </c>
      <c r="J18" s="13" t="s">
        <v>110</v>
      </c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 spans="1:23" ht="37.5" x14ac:dyDescent="0.35">
      <c r="A19" s="2"/>
      <c r="C19" s="3" t="s">
        <v>15</v>
      </c>
      <c r="D19" s="5" t="s">
        <v>42</v>
      </c>
      <c r="E19" s="5" t="s">
        <v>53</v>
      </c>
      <c r="F19" s="10">
        <f t="shared" si="0"/>
        <v>15</v>
      </c>
      <c r="G19" s="10">
        <v>3</v>
      </c>
      <c r="H19" s="10">
        <v>5</v>
      </c>
      <c r="I19" s="5" t="s">
        <v>112</v>
      </c>
      <c r="J19" s="13" t="s">
        <v>111</v>
      </c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 spans="1:23" ht="43.5" x14ac:dyDescent="0.35">
      <c r="A20" s="2"/>
      <c r="C20" s="3" t="s">
        <v>15</v>
      </c>
      <c r="D20" s="5" t="s">
        <v>43</v>
      </c>
      <c r="E20" s="5" t="s">
        <v>159</v>
      </c>
      <c r="F20" s="10">
        <f t="shared" si="0"/>
        <v>4</v>
      </c>
      <c r="G20" s="10">
        <v>1</v>
      </c>
      <c r="H20" s="10">
        <v>4</v>
      </c>
      <c r="I20" s="5" t="s">
        <v>113</v>
      </c>
      <c r="J20" s="15" t="s">
        <v>114</v>
      </c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 spans="1:23" ht="72.5" x14ac:dyDescent="0.35">
      <c r="A21" s="2"/>
      <c r="C21" s="3" t="s">
        <v>22</v>
      </c>
      <c r="D21" s="5" t="s">
        <v>21</v>
      </c>
      <c r="E21" s="5" t="s">
        <v>54</v>
      </c>
      <c r="F21" s="10">
        <f>G21*H21</f>
        <v>16</v>
      </c>
      <c r="G21" s="10">
        <v>4</v>
      </c>
      <c r="H21" s="10">
        <v>4</v>
      </c>
      <c r="I21" s="5" t="s">
        <v>115</v>
      </c>
      <c r="J21" s="39" t="s">
        <v>118</v>
      </c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 spans="1:23" ht="43.5" x14ac:dyDescent="0.35">
      <c r="A22" s="2"/>
      <c r="C22" s="3" t="s">
        <v>22</v>
      </c>
      <c r="D22" s="5" t="s">
        <v>20</v>
      </c>
      <c r="E22" s="5" t="s">
        <v>55</v>
      </c>
      <c r="F22" s="10">
        <f>G22*H22</f>
        <v>15</v>
      </c>
      <c r="G22" s="10">
        <v>3</v>
      </c>
      <c r="H22" s="10">
        <v>5</v>
      </c>
      <c r="I22" s="5" t="s">
        <v>116</v>
      </c>
      <c r="J22" s="12" t="s">
        <v>119</v>
      </c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 spans="1:23" ht="43.5" x14ac:dyDescent="0.35">
      <c r="A23" s="2"/>
      <c r="C23" s="3" t="s">
        <v>22</v>
      </c>
      <c r="D23" s="5" t="s">
        <v>17</v>
      </c>
      <c r="E23" s="5" t="s">
        <v>56</v>
      </c>
      <c r="F23" s="10">
        <f t="shared" ref="F23:F28" si="1">G23*H23</f>
        <v>12</v>
      </c>
      <c r="G23" s="10">
        <v>3</v>
      </c>
      <c r="H23" s="10">
        <v>4</v>
      </c>
      <c r="I23" s="5" t="s">
        <v>117</v>
      </c>
      <c r="J23" s="13" t="s">
        <v>161</v>
      </c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 spans="1:23" ht="43.5" x14ac:dyDescent="0.35">
      <c r="A24" s="2"/>
      <c r="C24" s="3" t="s">
        <v>22</v>
      </c>
      <c r="D24" s="5" t="s">
        <v>19</v>
      </c>
      <c r="E24" s="5" t="s">
        <v>57</v>
      </c>
      <c r="F24" s="10">
        <f t="shared" si="1"/>
        <v>8</v>
      </c>
      <c r="G24" s="10">
        <v>2</v>
      </c>
      <c r="H24" s="10">
        <v>4</v>
      </c>
      <c r="I24" s="5" t="s">
        <v>122</v>
      </c>
      <c r="J24" s="13" t="s">
        <v>123</v>
      </c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 spans="1:23" ht="43.5" x14ac:dyDescent="0.35">
      <c r="A25" s="2"/>
      <c r="C25" s="3" t="s">
        <v>22</v>
      </c>
      <c r="D25" s="5" t="s">
        <v>18</v>
      </c>
      <c r="E25" s="5" t="s">
        <v>58</v>
      </c>
      <c r="F25" s="10">
        <f t="shared" si="1"/>
        <v>6</v>
      </c>
      <c r="G25" s="10">
        <v>2</v>
      </c>
      <c r="H25" s="10">
        <v>3</v>
      </c>
      <c r="I25" s="5" t="s">
        <v>121</v>
      </c>
      <c r="J25" s="13" t="s">
        <v>120</v>
      </c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 spans="1:23" ht="43.5" x14ac:dyDescent="0.35">
      <c r="A26" s="2"/>
      <c r="C26" s="3" t="s">
        <v>22</v>
      </c>
      <c r="D26" s="5" t="s">
        <v>125</v>
      </c>
      <c r="E26" s="5" t="s">
        <v>59</v>
      </c>
      <c r="F26" s="10">
        <f t="shared" si="1"/>
        <v>3</v>
      </c>
      <c r="G26" s="10">
        <v>1</v>
      </c>
      <c r="H26" s="10">
        <v>3</v>
      </c>
      <c r="I26" s="5" t="s">
        <v>124</v>
      </c>
      <c r="J26" s="15" t="s">
        <v>103</v>
      </c>
      <c r="K26" s="2" t="s">
        <v>98</v>
      </c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 spans="1:23" ht="58" x14ac:dyDescent="0.35">
      <c r="A27" s="2"/>
      <c r="C27" s="3" t="s">
        <v>23</v>
      </c>
      <c r="D27" s="5" t="s">
        <v>164</v>
      </c>
      <c r="E27" s="5" t="s">
        <v>165</v>
      </c>
      <c r="F27" s="10">
        <f t="shared" si="1"/>
        <v>12</v>
      </c>
      <c r="G27" s="10">
        <v>3</v>
      </c>
      <c r="H27" s="10">
        <v>4</v>
      </c>
      <c r="I27" s="5" t="s">
        <v>166</v>
      </c>
      <c r="J27" s="15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 spans="1:23" ht="52.5" customHeight="1" x14ac:dyDescent="0.35">
      <c r="A28" s="2"/>
      <c r="C28" s="3" t="s">
        <v>23</v>
      </c>
      <c r="D28" s="5" t="s">
        <v>24</v>
      </c>
      <c r="E28" s="5" t="s">
        <v>60</v>
      </c>
      <c r="F28" s="10">
        <f t="shared" si="1"/>
        <v>15</v>
      </c>
      <c r="G28" s="10">
        <v>3</v>
      </c>
      <c r="H28" s="10">
        <v>5</v>
      </c>
      <c r="I28" s="5" t="s">
        <v>126</v>
      </c>
      <c r="J28" s="14" t="s">
        <v>127</v>
      </c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 spans="1:23" ht="58" x14ac:dyDescent="0.35">
      <c r="A29" s="2"/>
      <c r="C29" s="3" t="s">
        <v>23</v>
      </c>
      <c r="D29" s="5" t="s">
        <v>25</v>
      </c>
      <c r="E29" s="5" t="s">
        <v>61</v>
      </c>
      <c r="F29" s="10">
        <f>G29*H29</f>
        <v>12</v>
      </c>
      <c r="G29" s="10">
        <v>3</v>
      </c>
      <c r="H29" s="10">
        <v>4</v>
      </c>
      <c r="I29" s="5" t="s">
        <v>128</v>
      </c>
      <c r="J29" s="12" t="s">
        <v>133</v>
      </c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 spans="1:23" ht="46" x14ac:dyDescent="0.35">
      <c r="A30" s="2"/>
      <c r="C30" s="3" t="s">
        <v>23</v>
      </c>
      <c r="D30" s="5" t="s">
        <v>26</v>
      </c>
      <c r="E30" s="5" t="s">
        <v>62</v>
      </c>
      <c r="F30" s="10">
        <f t="shared" ref="F30:F32" si="2">G30*H30</f>
        <v>8</v>
      </c>
      <c r="G30" s="10">
        <v>2</v>
      </c>
      <c r="H30" s="10">
        <v>4</v>
      </c>
      <c r="I30" s="5" t="s">
        <v>129</v>
      </c>
      <c r="J30" s="13" t="s">
        <v>130</v>
      </c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 spans="1:23" ht="58" x14ac:dyDescent="0.35">
      <c r="A31" s="2"/>
      <c r="C31" s="3" t="s">
        <v>23</v>
      </c>
      <c r="D31" s="5" t="s">
        <v>38</v>
      </c>
      <c r="E31" s="5" t="s">
        <v>63</v>
      </c>
      <c r="F31" s="10">
        <f t="shared" si="2"/>
        <v>6</v>
      </c>
      <c r="G31" s="10">
        <v>2</v>
      </c>
      <c r="H31" s="10">
        <v>3</v>
      </c>
      <c r="I31" s="5" t="s">
        <v>131</v>
      </c>
      <c r="J31" s="20" t="s">
        <v>132</v>
      </c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 spans="1:23" ht="46" x14ac:dyDescent="0.35">
      <c r="A32" s="2"/>
      <c r="C32" s="3" t="s">
        <v>23</v>
      </c>
      <c r="D32" s="5" t="s">
        <v>27</v>
      </c>
      <c r="E32" s="5" t="s">
        <v>64</v>
      </c>
      <c r="F32" s="10">
        <f t="shared" si="2"/>
        <v>3</v>
      </c>
      <c r="G32" s="10">
        <v>1</v>
      </c>
      <c r="H32" s="10">
        <v>3</v>
      </c>
      <c r="I32" s="5" t="s">
        <v>134</v>
      </c>
      <c r="J32" s="14" t="s">
        <v>135</v>
      </c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 spans="1:23" ht="50" customHeight="1" x14ac:dyDescent="0.35">
      <c r="A33" s="2"/>
      <c r="C33" s="4" t="s">
        <v>28</v>
      </c>
      <c r="D33" s="5" t="s">
        <v>136</v>
      </c>
      <c r="E33" s="5" t="s">
        <v>65</v>
      </c>
      <c r="F33" s="10">
        <f>G33*H33</f>
        <v>12</v>
      </c>
      <c r="G33" s="10">
        <v>3</v>
      </c>
      <c r="H33" s="10">
        <v>4</v>
      </c>
      <c r="I33" s="5" t="s">
        <v>137</v>
      </c>
      <c r="J33" s="12" t="s">
        <v>138</v>
      </c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 spans="1:23" ht="58.5" customHeight="1" x14ac:dyDescent="0.35">
      <c r="A34" s="2"/>
      <c r="C34" s="4" t="s">
        <v>28</v>
      </c>
      <c r="D34" s="5" t="s">
        <v>29</v>
      </c>
      <c r="E34" s="5" t="s">
        <v>66</v>
      </c>
      <c r="F34" s="10">
        <f t="shared" ref="F34:F35" si="3">G34*H34</f>
        <v>8</v>
      </c>
      <c r="G34" s="10">
        <v>2</v>
      </c>
      <c r="H34" s="10">
        <v>4</v>
      </c>
      <c r="I34" s="5" t="s">
        <v>139</v>
      </c>
      <c r="J34" s="15" t="s">
        <v>103</v>
      </c>
      <c r="K34" s="2" t="s">
        <v>98</v>
      </c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 spans="1:23" ht="75" customHeight="1" x14ac:dyDescent="0.35">
      <c r="A35" s="2"/>
      <c r="C35" s="4" t="s">
        <v>28</v>
      </c>
      <c r="D35" s="5" t="s">
        <v>24</v>
      </c>
      <c r="E35" s="5" t="s">
        <v>74</v>
      </c>
      <c r="F35" s="10">
        <f t="shared" si="3"/>
        <v>12</v>
      </c>
      <c r="G35" s="10">
        <v>3</v>
      </c>
      <c r="H35" s="10">
        <v>4</v>
      </c>
      <c r="I35" s="5" t="s">
        <v>126</v>
      </c>
      <c r="J35" s="14" t="s">
        <v>140</v>
      </c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</row>
    <row r="36" spans="1:23" ht="50" customHeight="1" x14ac:dyDescent="0.35">
      <c r="A36" s="2"/>
      <c r="C36" s="4" t="s">
        <v>28</v>
      </c>
      <c r="D36" s="5" t="s">
        <v>30</v>
      </c>
      <c r="E36" s="5" t="s">
        <v>152</v>
      </c>
      <c r="F36" s="10">
        <f>G36*H36</f>
        <v>9</v>
      </c>
      <c r="G36" s="10">
        <v>3</v>
      </c>
      <c r="H36" s="10">
        <v>3</v>
      </c>
      <c r="I36" s="5" t="s">
        <v>141</v>
      </c>
      <c r="J36" s="15" t="s">
        <v>103</v>
      </c>
      <c r="K36" s="2" t="s">
        <v>98</v>
      </c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 spans="1:23" ht="50" customHeight="1" x14ac:dyDescent="0.35">
      <c r="A37" s="2"/>
      <c r="C37" s="4" t="s">
        <v>28</v>
      </c>
      <c r="D37" s="5" t="s">
        <v>44</v>
      </c>
      <c r="E37" s="5" t="s">
        <v>67</v>
      </c>
      <c r="F37" s="10">
        <f t="shared" ref="F37:F38" si="4">G37*H37</f>
        <v>8</v>
      </c>
      <c r="G37" s="10">
        <v>2</v>
      </c>
      <c r="H37" s="10">
        <v>4</v>
      </c>
      <c r="I37" s="5" t="s">
        <v>142</v>
      </c>
      <c r="J37" s="14" t="s">
        <v>147</v>
      </c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 spans="1:23" ht="74.5" customHeight="1" x14ac:dyDescent="0.35">
      <c r="A38" s="2"/>
      <c r="C38" s="4" t="s">
        <v>28</v>
      </c>
      <c r="D38" s="5" t="s">
        <v>31</v>
      </c>
      <c r="E38" s="5" t="s">
        <v>151</v>
      </c>
      <c r="F38" s="10">
        <f t="shared" si="4"/>
        <v>6</v>
      </c>
      <c r="G38" s="10">
        <v>2</v>
      </c>
      <c r="H38" s="10">
        <v>3</v>
      </c>
      <c r="I38" s="5" t="s">
        <v>143</v>
      </c>
      <c r="J38" s="12" t="s">
        <v>144</v>
      </c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 spans="1:23" ht="56.5" customHeight="1" x14ac:dyDescent="0.35">
      <c r="A39" s="2"/>
      <c r="C39" s="4" t="s">
        <v>32</v>
      </c>
      <c r="D39" s="5" t="s">
        <v>33</v>
      </c>
      <c r="E39" s="5" t="s">
        <v>68</v>
      </c>
      <c r="F39" s="10">
        <f>G39*H39</f>
        <v>12</v>
      </c>
      <c r="G39" s="10">
        <v>3</v>
      </c>
      <c r="H39" s="10">
        <v>4</v>
      </c>
      <c r="I39" s="5" t="s">
        <v>145</v>
      </c>
      <c r="J39" s="13" t="s">
        <v>148</v>
      </c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 spans="1:23" ht="52" x14ac:dyDescent="0.35">
      <c r="A40" s="2"/>
      <c r="C40" s="3" t="s">
        <v>32</v>
      </c>
      <c r="D40" s="5" t="s">
        <v>34</v>
      </c>
      <c r="E40" s="5" t="s">
        <v>69</v>
      </c>
      <c r="F40" s="10">
        <f t="shared" ref="F40" si="5">G40*H40</f>
        <v>12</v>
      </c>
      <c r="G40" s="10">
        <v>3</v>
      </c>
      <c r="H40" s="10">
        <v>4</v>
      </c>
      <c r="I40" s="5" t="s">
        <v>146</v>
      </c>
      <c r="J40" s="13" t="s">
        <v>148</v>
      </c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 spans="1:23" ht="52" x14ac:dyDescent="0.35">
      <c r="A41" s="2"/>
      <c r="C41" s="3" t="s">
        <v>32</v>
      </c>
      <c r="D41" s="5" t="s">
        <v>45</v>
      </c>
      <c r="E41" s="5" t="s">
        <v>70</v>
      </c>
      <c r="F41" s="10">
        <f>G41*H41</f>
        <v>9</v>
      </c>
      <c r="G41" s="10">
        <v>3</v>
      </c>
      <c r="H41" s="10">
        <v>3</v>
      </c>
      <c r="I41" s="5" t="s">
        <v>149</v>
      </c>
      <c r="J41" s="16" t="s">
        <v>103</v>
      </c>
      <c r="K41" s="2" t="s">
        <v>98</v>
      </c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 spans="1:23" ht="52" x14ac:dyDescent="0.35">
      <c r="A42" s="2"/>
      <c r="C42" s="6" t="s">
        <v>32</v>
      </c>
      <c r="D42" s="7" t="s">
        <v>35</v>
      </c>
      <c r="E42" s="7" t="s">
        <v>71</v>
      </c>
      <c r="F42" s="18">
        <f t="shared" ref="F42" si="6">G42*H42</f>
        <v>8</v>
      </c>
      <c r="G42" s="18">
        <v>2</v>
      </c>
      <c r="H42" s="11">
        <v>4</v>
      </c>
      <c r="I42" s="17" t="s">
        <v>72</v>
      </c>
      <c r="J42" s="19" t="s">
        <v>150</v>
      </c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 spans="1:23" x14ac:dyDescent="0.3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 spans="1:23" x14ac:dyDescent="0.3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</row>
    <row r="45" spans="1:23" x14ac:dyDescent="0.3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 spans="1:23" x14ac:dyDescent="0.3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 spans="1:23" x14ac:dyDescent="0.3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 spans="1:23" x14ac:dyDescent="0.3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</row>
    <row r="49" spans="1:23" x14ac:dyDescent="0.3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</row>
    <row r="50" spans="1:23" x14ac:dyDescent="0.3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  <row r="51" spans="1:23" x14ac:dyDescent="0.3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  <row r="52" spans="1:23" x14ac:dyDescent="0.3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</row>
    <row r="53" spans="1:23" x14ac:dyDescent="0.3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</row>
    <row r="54" spans="1:23" x14ac:dyDescent="0.35"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</row>
    <row r="55" spans="1:23" x14ac:dyDescent="0.3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</row>
    <row r="56" spans="1:23" x14ac:dyDescent="0.3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 spans="1:23" x14ac:dyDescent="0.3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 spans="1:23" x14ac:dyDescent="0.3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</row>
    <row r="59" spans="1:23" x14ac:dyDescent="0.3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</row>
    <row r="60" spans="1:23" x14ac:dyDescent="0.3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</row>
    <row r="61" spans="1:23" x14ac:dyDescent="0.3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</row>
    <row r="62" spans="1:23" x14ac:dyDescent="0.3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</row>
    <row r="63" spans="1:23" x14ac:dyDescent="0.3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</row>
    <row r="64" spans="1:23" x14ac:dyDescent="0.3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</row>
    <row r="65" spans="1:23" x14ac:dyDescent="0.3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</row>
    <row r="66" spans="1:23" x14ac:dyDescent="0.35"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</row>
  </sheetData>
  <mergeCells count="3">
    <mergeCell ref="Q5:U5"/>
    <mergeCell ref="O7:O11"/>
    <mergeCell ref="N4:Q4"/>
  </mergeCells>
  <conditionalFormatting sqref="B4:B42">
    <cfRule type="expression" dxfId="15" priority="10">
      <formula>$C4="Integração"</formula>
    </cfRule>
    <cfRule type="expression" dxfId="14" priority="11">
      <formula>$C4="Tablet + Database"</formula>
    </cfRule>
    <cfRule type="expression" dxfId="13" priority="12">
      <formula>$C4="Firmware"</formula>
    </cfRule>
    <cfRule type="expression" dxfId="12" priority="13">
      <formula>$C4="Comms"</formula>
    </cfRule>
    <cfRule type="expression" dxfId="11" priority="14">
      <formula>$C4="Energia"</formula>
    </cfRule>
    <cfRule type="expression" dxfId="10" priority="15">
      <formula>$C4="Vest"</formula>
    </cfRule>
    <cfRule type="expression" dxfId="9" priority="16">
      <formula>$C4="Geral"</formula>
    </cfRule>
    <cfRule type="expression" dxfId="8" priority="17">
      <formula>$C4=""</formula>
    </cfRule>
  </conditionalFormatting>
  <conditionalFormatting sqref="F4:F42">
    <cfRule type="cellIs" dxfId="7" priority="1" operator="equal">
      <formula>25</formula>
    </cfRule>
    <cfRule type="cellIs" dxfId="6" priority="2" operator="equal">
      <formula>20</formula>
    </cfRule>
    <cfRule type="cellIs" dxfId="5" priority="3" operator="between">
      <formula>15</formula>
      <formula>16</formula>
    </cfRule>
    <cfRule type="cellIs" dxfId="4" priority="4" operator="between">
      <formula>9</formula>
      <formula>12</formula>
    </cfRule>
    <cfRule type="cellIs" dxfId="3" priority="5" operator="between">
      <formula>5</formula>
      <formula>8</formula>
    </cfRule>
    <cfRule type="cellIs" dxfId="2" priority="6" operator="between">
      <formula>3</formula>
      <formula>4</formula>
    </cfRule>
    <cfRule type="cellIs" dxfId="1" priority="7" operator="equal">
      <formula>2</formula>
    </cfRule>
    <cfRule type="cellIs" dxfId="0" priority="9" operator="equal">
      <formula>1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6ed9b71-3a27-4bc9-a2da-0267a626ff50" xsi:nil="true"/>
    <lcf76f155ced4ddcb4097134ff3c332f xmlns="1d660c6e-e1e5-4e72-b7f8-271ef1b87bbd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194A6E506DE4941AF22E41499C9FA2D" ma:contentTypeVersion="10" ma:contentTypeDescription="Create a new document." ma:contentTypeScope="" ma:versionID="c4b487b1830f5a7fe6c41bd4a1f1cdb8">
  <xsd:schema xmlns:xsd="http://www.w3.org/2001/XMLSchema" xmlns:xs="http://www.w3.org/2001/XMLSchema" xmlns:p="http://schemas.microsoft.com/office/2006/metadata/properties" xmlns:ns2="1d660c6e-e1e5-4e72-b7f8-271ef1b87bbd" xmlns:ns3="66ed9b71-3a27-4bc9-a2da-0267a626ff50" targetNamespace="http://schemas.microsoft.com/office/2006/metadata/properties" ma:root="true" ma:fieldsID="1fe2862ff52a8361f470ce6888c0015e" ns2:_="" ns3:_="">
    <xsd:import namespace="1d660c6e-e1e5-4e72-b7f8-271ef1b87bbd"/>
    <xsd:import namespace="66ed9b71-3a27-4bc9-a2da-0267a626ff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660c6e-e1e5-4e72-b7f8-271ef1b87bb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d602765-7830-46ba-a66b-13b8df2c5cf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ed9b71-3a27-4bc9-a2da-0267a626ff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4e321e9-85bb-4f7f-8d10-9d5f9625410a}" ma:internalName="TaxCatchAll" ma:showField="CatchAllData" ma:web="66ed9b71-3a27-4bc9-a2da-0267a626ff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237F17D-D8B7-40F0-B584-B1BEFA9CB1E8}">
  <ds:schemaRefs>
    <ds:schemaRef ds:uri="http://schemas.microsoft.com/office/2006/metadata/properties"/>
    <ds:schemaRef ds:uri="http://schemas.openxmlformats.org/package/2006/metadata/core-properties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purl.org/dc/terms/"/>
    <ds:schemaRef ds:uri="http://www.w3.org/XML/1998/namespace"/>
    <ds:schemaRef ds:uri="http://purl.org/dc/dcmitype/"/>
    <ds:schemaRef ds:uri="66ed9b71-3a27-4bc9-a2da-0267a626ff50"/>
    <ds:schemaRef ds:uri="1d660c6e-e1e5-4e72-b7f8-271ef1b87bbd"/>
  </ds:schemaRefs>
</ds:datastoreItem>
</file>

<file path=customXml/itemProps2.xml><?xml version="1.0" encoding="utf-8"?>
<ds:datastoreItem xmlns:ds="http://schemas.openxmlformats.org/officeDocument/2006/customXml" ds:itemID="{215E5464-F2C1-4913-A405-C28FDC4A9D0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d660c6e-e1e5-4e72-b7f8-271ef1b87bbd"/>
    <ds:schemaRef ds:uri="66ed9b71-3a27-4bc9-a2da-0267a626ff5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75F5F0B-8E14-4FE0-A7A1-1E99DC62D92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Riscos 29_11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Gonçalo Ramos</dc:creator>
  <cp:lastModifiedBy>Gonçalo Ramos</cp:lastModifiedBy>
  <dcterms:created xsi:type="dcterms:W3CDTF">2025-11-29T11:04:50Z</dcterms:created>
  <dcterms:modified xsi:type="dcterms:W3CDTF">2026-03-02T20:34:30Z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0x010100D194A6E506DE4941AF22E41499C9FA2D</vt:lpwstr>
  </property>
  <property fmtid="{D5CDD505-2E9C-101B-9397-08002B2CF9AE}" pid="3" name="MediaServiceImageTags">
    <vt:lpwstr/>
  </property>
</Properties>
</file>